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havani\Downloads\"/>
    </mc:Choice>
  </mc:AlternateContent>
  <xr:revisionPtr revIDLastSave="0" documentId="13_ncr:1_{FE35AD0F-C897-4330-86F1-46892748813C}" xr6:coauthVersionLast="47" xr6:coauthVersionMax="47" xr10:uidLastSave="{00000000-0000-0000-0000-000000000000}"/>
  <bookViews>
    <workbookView xWindow="4752" yWindow="936" windowWidth="17280" windowHeight="8880" xr2:uid="{00000000-000D-0000-FFFF-FFFF00000000}"/>
  </bookViews>
  <sheets>
    <sheet name="Test Cases" sheetId="1" r:id="rId1"/>
    <sheet name="Execution Summary" sheetId="2" r:id="rId2"/>
    <sheet name="Test Environment" sheetId="3" r:id="rId3"/>
  </sheets>
  <calcPr calcId="191029"/>
</workbook>
</file>

<file path=xl/calcChain.xml><?xml version="1.0" encoding="utf-8"?>
<calcChain xmlns="http://schemas.openxmlformats.org/spreadsheetml/2006/main">
  <c r="B8" i="2" l="1"/>
  <c r="B7" i="2"/>
  <c r="B6" i="2"/>
  <c r="B5" i="2"/>
  <c r="B4" i="2"/>
</calcChain>
</file>

<file path=xl/sharedStrings.xml><?xml version="1.0" encoding="utf-8"?>
<sst xmlns="http://schemas.openxmlformats.org/spreadsheetml/2006/main" count="778" uniqueCount="500">
  <si>
    <t>Test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</si>
  <si>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</si>
  <si>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</si>
  <si>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</si>
  <si>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</si>
  <si>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</si>
  <si>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</si>
  <si>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</si>
  <si>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</si>
  <si>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Account</t>
  </si>
  <si>
    <t>Notes / Evidence</t>
  </si>
  <si>
    <t>TC-LOGIN-001</t>
  </si>
  <si>
    <t>Login</t>
  </si>
  <si>
    <t>Login with valid credentials</t>
  </si>
  <si>
    <t>User is logged out</t>
  </si>
  <si>
    <t>1. Open SauceDemo
2. Enter username
3. Enter password
4. Click Login</t>
  </si>
  <si>
    <t>standard_user / secret_sauce</t>
  </si>
  <si>
    <t>Products page opens successfully</t>
  </si>
  <si>
    <t>Products page opened successfully</t>
  </si>
  <si>
    <t>PASS</t>
  </si>
  <si>
    <t>standard_user</t>
  </si>
  <si>
    <t>TC-LOGIN-002</t>
  </si>
  <si>
    <t>Login with invalid credentials</t>
  </si>
  <si>
    <t>1. Enter invalid username and password
2. Click Login</t>
  </si>
  <si>
    <t>wrong_user / wrong_password</t>
  </si>
  <si>
    <t>An invalid-credentials error is displayed</t>
  </si>
  <si>
    <t>Epic sadface: Username and password do not match any user in this service</t>
  </si>
  <si>
    <t>Invalid credentials</t>
  </si>
  <si>
    <t>TC-LOGIN-003</t>
  </si>
  <si>
    <t>Submit login form with both fields empty</t>
  </si>
  <si>
    <t>1. Leave username and password empty
2. Click Login</t>
  </si>
  <si>
    <t>Both fields blank</t>
  </si>
  <si>
    <t>Username-required validation is displayed</t>
  </si>
  <si>
    <t>Epic sadface: Username is required</t>
  </si>
  <si>
    <t>—</t>
  </si>
  <si>
    <t>TC-LOGIN-004</t>
  </si>
  <si>
    <t>Submit login form with password empty</t>
  </si>
  <si>
    <t>1. Enter username
2. Leave password empty
3. Click Login</t>
  </si>
  <si>
    <t>Username entered; password blank</t>
  </si>
  <si>
    <t>Password-required validation is displayed</t>
  </si>
  <si>
    <t>Epic sadface: Password is required</t>
  </si>
  <si>
    <t>TC-LOGIN-005</t>
  </si>
  <si>
    <t>Login with locked-out account</t>
  </si>
  <si>
    <t>1. Enter locked-out user credentials
2. Click Login</t>
  </si>
  <si>
    <t>locked_out_user / secret_sauce</t>
  </si>
  <si>
    <t>Login is blocked and locked-out message is displayed</t>
  </si>
  <si>
    <t>Sorry, this user has been locked out.</t>
  </si>
  <si>
    <t>locked_out_user</t>
  </si>
  <si>
    <t>TC-LOGIN-006</t>
  </si>
  <si>
    <t>Login with performance-glitch account</t>
  </si>
  <si>
    <t>1. Enter performance-glitch credentials
2. Click Login
3. Observe loading and final page</t>
  </si>
  <si>
    <t>performance_glitch_user / secret_sauce</t>
  </si>
  <si>
    <t>Login eventually opens Products page without a confirmed failure</t>
  </si>
  <si>
    <t>Products page opened after a delay; no precise timing recorded</t>
  </si>
  <si>
    <t>performance_glitch_user</t>
  </si>
  <si>
    <t>No measured timing; not a performance benchmark</t>
  </si>
  <si>
    <t>TC-LOGIN-007</t>
  </si>
  <si>
    <t>Login with error account</t>
  </si>
  <si>
    <t>1. Enter error-user credentials
2. Click Login</t>
  </si>
  <si>
    <t>error_user / secret_sauce</t>
  </si>
  <si>
    <t>Account logs in to the application</t>
  </si>
  <si>
    <t>Login succeeded</t>
  </si>
  <si>
    <t>error_user</t>
  </si>
  <si>
    <t>Account-specific issues tested separately</t>
  </si>
  <si>
    <t>TC-LOGIN-008</t>
  </si>
  <si>
    <t>Logout from Products page</t>
  </si>
  <si>
    <t>User is logged in</t>
  </si>
  <si>
    <t>1. Open menu
2. Click Logout</t>
  </si>
  <si>
    <t>Login page appears</t>
  </si>
  <si>
    <t>Login page appeared without error</t>
  </si>
  <si>
    <t>TC-NAV-001</t>
  </si>
  <si>
    <t>Navigation</t>
  </si>
  <si>
    <t>Browser Back after logout</t>
  </si>
  <si>
    <t>User has logged out</t>
  </si>
  <si>
    <t>1. Log out
2. Click browser Back</t>
  </si>
  <si>
    <t>Protected content remains inaccessible</t>
  </si>
  <si>
    <t>Login/protected page remained inaccessible</t>
  </si>
  <si>
    <t>TC-NAV-002</t>
  </si>
  <si>
    <t>Open inventory URL while logged out</t>
  </si>
  <si>
    <t>1. Navigate directly to https://www.saucedemo.com/inventory.html</t>
  </si>
  <si>
    <t>inventory.html</t>
  </si>
  <si>
    <t>User is redirected to login with access error</t>
  </si>
  <si>
    <t>Epic sadface: You can only access '/inventory.html' when you are logged in.</t>
  </si>
  <si>
    <t>TC-NAV-003</t>
  </si>
  <si>
    <t>Open checkout step one URL while logged out</t>
  </si>
  <si>
    <t>1. Navigate directly to /checkout-step-one.html</t>
  </si>
  <si>
    <t>checkout-step-one.html</t>
  </si>
  <si>
    <t>Protected page is blocked</t>
  </si>
  <si>
    <t>Login page displayed an access error for /checkout-step-one.html</t>
  </si>
  <si>
    <t>TC-NAV-004</t>
  </si>
  <si>
    <t>Open cart URL while logged out</t>
  </si>
  <si>
    <t>1. Navigate directly to /cart.html</t>
  </si>
  <si>
    <t>cart.html</t>
  </si>
  <si>
    <t>Login page displayed an access error for /cart.html</t>
  </si>
  <si>
    <t>TC-NAV-005</t>
  </si>
  <si>
    <t>Open checkout overview URL while logged out</t>
  </si>
  <si>
    <t>1. Navigate directly to /checkout-step-two.html</t>
  </si>
  <si>
    <t>checkout-step-two.html</t>
  </si>
  <si>
    <t>Login page displayed an access error for /checkout-step-two.html</t>
  </si>
  <si>
    <t>TC-NAV-006</t>
  </si>
  <si>
    <t>Open checkout complete URL while logged out</t>
  </si>
  <si>
    <t>1. Navigate directly to /checkout-complete.html</t>
  </si>
  <si>
    <t>checkout-complete.html</t>
  </si>
  <si>
    <t>Login page displayed an access error for /checkout-complete.html</t>
  </si>
  <si>
    <t>TC-NAV-007</t>
  </si>
  <si>
    <t>Refresh Products page while logged in</t>
  </si>
  <si>
    <t>User is logged in on Products page</t>
  </si>
  <si>
    <t>1. Refresh browser</t>
  </si>
  <si>
    <t>Products page remains accessible</t>
  </si>
  <si>
    <t>Products page remained accessible</t>
  </si>
  <si>
    <t>TC-NAV-008</t>
  </si>
  <si>
    <t>Refresh cart page with item</t>
  </si>
  <si>
    <t>Backpack is in cart</t>
  </si>
  <si>
    <t>1. Open cart
2. Refresh browser</t>
  </si>
  <si>
    <t>Sauce Labs Backpack</t>
  </si>
  <si>
    <t>Cart contents persist after refresh</t>
  </si>
  <si>
    <t>Backpack remained in cart</t>
  </si>
  <si>
    <t>TC-NAV-009</t>
  </si>
  <si>
    <t>Remove last item and refresh cart</t>
  </si>
  <si>
    <t>Item is in cart</t>
  </si>
  <si>
    <t>1. Remove the last item
2. Refresh cart</t>
  </si>
  <si>
    <t>Cart remains empty after refresh</t>
  </si>
  <si>
    <t>Cart remained empty</t>
  </si>
  <si>
    <t>TC-NAV-010</t>
  </si>
  <si>
    <t>Login after protected-page access attempts</t>
  </si>
  <si>
    <t>User logged out after protected URL attempt</t>
  </si>
  <si>
    <t>1. Log in with valid credentials</t>
  </si>
  <si>
    <t>Login succeeds and Products page opens</t>
  </si>
  <si>
    <t>TC-NAV-011</t>
  </si>
  <si>
    <t>Back to Products from product details</t>
  </si>
  <si>
    <t>Product details page is open</t>
  </si>
  <si>
    <t>1. Click Back to products</t>
  </si>
  <si>
    <t>Products page opens without access error</t>
  </si>
  <si>
    <t>Products page opened without error during retest</t>
  </si>
  <si>
    <t>Earlier error not reproduced</t>
  </si>
  <si>
    <t>TC-INVENTORY-001</t>
  </si>
  <si>
    <t>Products</t>
  </si>
  <si>
    <t>Verify product listing content</t>
  </si>
  <si>
    <t>1. Open Products page
2. Inspect product cards</t>
  </si>
  <si>
    <t>Product cards show product image, name, description, price and cart action</t>
  </si>
  <si>
    <t>Product cards and main controls were visible</t>
  </si>
  <si>
    <t>TC-SORT-001</t>
  </si>
  <si>
    <t>Sorting</t>
  </si>
  <si>
    <t>Sort products by Name A-Z</t>
  </si>
  <si>
    <t>1. Select Name (A to Z)
2. Inspect first products</t>
  </si>
  <si>
    <t>Name (A to Z)</t>
  </si>
  <si>
    <t>Products sort alphabetically ascending</t>
  </si>
  <si>
    <t>Backpack first; Bike Light second</t>
  </si>
  <si>
    <t>Only first few positions checked</t>
  </si>
  <si>
    <t>TC-SORT-002</t>
  </si>
  <si>
    <t>Sort products by Name Z-A</t>
  </si>
  <si>
    <t>1. Select Name (Z to A)
2. Inspect first products</t>
  </si>
  <si>
    <t>Name (Z to A)</t>
  </si>
  <si>
    <t>Products sort alphabetically descending</t>
  </si>
  <si>
    <t>Test.all the things() first; Sauce Labs Onesie second</t>
  </si>
  <si>
    <t>TC-SORT-003</t>
  </si>
  <si>
    <t>Sort products by price low to high</t>
  </si>
  <si>
    <t>1. Select Price (low to high)
2. Inspect first products</t>
  </si>
  <si>
    <t>Price (low to high)</t>
  </si>
  <si>
    <t>Lowest-priced products appear first</t>
  </si>
  <si>
    <t>Onesie $7.99; Bike Light $9.99</t>
  </si>
  <si>
    <t>TC-SORT-004</t>
  </si>
  <si>
    <t>Sort products by price high to low</t>
  </si>
  <si>
    <t>1. Select Price (high to low)
2. Inspect first products</t>
  </si>
  <si>
    <t>Price (high to low)</t>
  </si>
  <si>
    <t>Highest-priced products appear first</t>
  </si>
  <si>
    <t>Fleece Jacket $49.99; Backpack $29.99</t>
  </si>
  <si>
    <t>TC-SORT-005</t>
  </si>
  <si>
    <t>Retest sorting with error_user</t>
  </si>
  <si>
    <t>User is logged in as error_user</t>
  </si>
  <si>
    <t>1. Select a sorting option
2. Observe alert and order</t>
  </si>
  <si>
    <t>Name Z-A / price sorting</t>
  </si>
  <si>
    <t>Selected sort order is applied without unexpected error</t>
  </si>
  <si>
    <t>Browser alert 'sorting is broken! this error has been reported to backtrace'; order did not change</t>
  </si>
  <si>
    <t>FAIL</t>
  </si>
  <si>
    <t>BUG-SORT-001; reproduced</t>
  </si>
  <si>
    <t>TC-PRODUCT-001</t>
  </si>
  <si>
    <t>Verify product images with problem_user</t>
  </si>
  <si>
    <t>User is logged in as problem_user</t>
  </si>
  <si>
    <t>1. Inspect multiple product images</t>
  </si>
  <si>
    <t>problem_user</t>
  </si>
  <si>
    <t>Each product shows its matching image</t>
  </si>
  <si>
    <t>Same dog-with-ball image appeared for all products</t>
  </si>
  <si>
    <t>BUG-PRODUCT-001; reproduced</t>
  </si>
  <si>
    <t>TC-CART-001</t>
  </si>
  <si>
    <t>Cart</t>
  </si>
  <si>
    <t>Add Backpack to cart</t>
  </si>
  <si>
    <t>User is on Products page</t>
  </si>
  <si>
    <t>1. Click Add to cart for Backpack</t>
  </si>
  <si>
    <t>Button changes to Remove and cart badge becomes 1</t>
  </si>
  <si>
    <t>Button changed to Remove; badge showed 1</t>
  </si>
  <si>
    <t>TC-CART-002</t>
  </si>
  <si>
    <t>View cart contents</t>
  </si>
  <si>
    <t>1. Click cart icon</t>
  </si>
  <si>
    <t>Cart shows item, quantity, price and actions</t>
  </si>
  <si>
    <t>Backpack and cart controls were displayed</t>
  </si>
  <si>
    <t>TC-CART-003</t>
  </si>
  <si>
    <t>Remove product from cart page</t>
  </si>
  <si>
    <t>1. Open cart
2. Click Remove</t>
  </si>
  <si>
    <t>Item disappears and cart badge updates</t>
  </si>
  <si>
    <t>Item disappeared; badge changed from 1 to 0</t>
  </si>
  <si>
    <t>TC-CART-004</t>
  </si>
  <si>
    <t>Add two products to cart</t>
  </si>
  <si>
    <t>1. Add Backpack
2. Add Bike Light</t>
  </si>
  <si>
    <t>Backpack; Bike Light</t>
  </si>
  <si>
    <t>Both products appear and cart badge is 2</t>
  </si>
  <si>
    <t>Both items appeared; badge showed 2</t>
  </si>
  <si>
    <t>TC-CART-005</t>
  </si>
  <si>
    <t>Remove one of two cart items</t>
  </si>
  <si>
    <t>Two products are in cart</t>
  </si>
  <si>
    <t>1. Remove Backpack from cart</t>
  </si>
  <si>
    <t>Backpack is removed; Bike Light remains; badge becomes 1</t>
  </si>
  <si>
    <t>Backpack removed; Bike Light remained; badge became 1</t>
  </si>
  <si>
    <t>TC-CART-006</t>
  </si>
  <si>
    <t>Remove last product</t>
  </si>
  <si>
    <t>One product is in cart</t>
  </si>
  <si>
    <t>1. Remove the last item</t>
  </si>
  <si>
    <t>Sauce Labs Bike Light</t>
  </si>
  <si>
    <t>Cart becomes empty and badge disappears</t>
  </si>
  <si>
    <t>Cart became empty; badge disappeared</t>
  </si>
  <si>
    <t>TC-CART-007</t>
  </si>
  <si>
    <t>Verify empty-cart layout</t>
  </si>
  <si>
    <t>Cart is empty</t>
  </si>
  <si>
    <t>1. Open cart</t>
  </si>
  <si>
    <t>Cart heading, Continue Shopping and Checkout are shown; no item rows</t>
  </si>
  <si>
    <t>Empty cart layout and buttons were visible</t>
  </si>
  <si>
    <t>TC-CART-008</t>
  </si>
  <si>
    <t>Continue Shopping from cart</t>
  </si>
  <si>
    <t>Product is in cart</t>
  </si>
  <si>
    <t>1. Open cart
2. Click Continue Shopping</t>
  </si>
  <si>
    <t>Backpack</t>
  </si>
  <si>
    <t>Products page opens and cart state is retained</t>
  </si>
  <si>
    <t>Products page opened; Backpack remained in cart</t>
  </si>
  <si>
    <t>Some separate navigation errors were intermittent</t>
  </si>
  <si>
    <t>TC-CART-009</t>
  </si>
  <si>
    <t>Verify cart after navigation recovery</t>
  </si>
  <si>
    <t>User recovered from checkout navigation error</t>
  </si>
  <si>
    <t>Backpack is listed with quantity 1</t>
  </si>
  <si>
    <t>Backpack was listed with quantity 1</t>
  </si>
  <si>
    <t>TC-CART-010</t>
  </si>
  <si>
    <t>Remove product using error_user</t>
  </si>
  <si>
    <t>User logged in as error_user with product in cart</t>
  </si>
  <si>
    <t>1. Open product details
2. Click Remove
3. Try Remove in cart</t>
  </si>
  <si>
    <t>Product is removed; button and cart update</t>
  </si>
  <si>
    <t>Remove button did not change and product could not be removed from cart</t>
  </si>
  <si>
    <t>BUG-CART-001; reproduced on retest</t>
  </si>
  <si>
    <t>TC-CART-011</t>
  </si>
  <si>
    <t>Add and remove products using standard_user</t>
  </si>
  <si>
    <t>User logged in as standard_user</t>
  </si>
  <si>
    <t>1. Add product
2. Remove product</t>
  </si>
  <si>
    <t>Both add and remove work correctly</t>
  </si>
  <si>
    <t>User confirmed both actions worked</t>
  </si>
  <si>
    <t>Comparison retest for BUG-CART-001</t>
  </si>
  <si>
    <t>TC-CART-012</t>
  </si>
  <si>
    <t>Reset App State clears cart</t>
  </si>
  <si>
    <t>1. Open menu
2. Click Reset App State</t>
  </si>
  <si>
    <t>Cart is cleared and product button reflects empty cart</t>
  </si>
  <si>
    <t>Cart cleared but product button still showed Remove</t>
  </si>
  <si>
    <t>standard_user / error_user</t>
  </si>
  <si>
    <t>BUG-MENU-001; reproduced</t>
  </si>
  <si>
    <t>TC-CHECKOUT-001</t>
  </si>
  <si>
    <t>Checkout</t>
  </si>
  <si>
    <t>Checkout with empty cart</t>
  </si>
  <si>
    <t>1. Click Checkout</t>
  </si>
  <si>
    <t>Checkout should not proceed with no items</t>
  </si>
  <si>
    <t>Checkout information page opened</t>
  </si>
  <si>
    <t>BUG-CART-002</t>
  </si>
  <si>
    <t>TC-CHECKOUT-002</t>
  </si>
  <si>
    <t>Continue checkout with empty cart</t>
  </si>
  <si>
    <t>Checkout information page open with empty cart</t>
  </si>
  <si>
    <t>1. Enter valid details
2. Click Continue</t>
  </si>
  <si>
    <t>Naga / Tester / 500001</t>
  </si>
  <si>
    <t>Checkout should prevent empty-cart order</t>
  </si>
  <si>
    <t>Overview opened with no products</t>
  </si>
  <si>
    <t>TC-CHECKOUT-003</t>
  </si>
  <si>
    <t>Verify empty-cart totals</t>
  </si>
  <si>
    <t>Checkout overview reached with empty cart</t>
  </si>
  <si>
    <t>1. Inspect overview</t>
  </si>
  <si>
    <t>Checkout should not show a valid order total for an empty cart</t>
  </si>
  <si>
    <t>Item total $0, tax $0, total $0 shown</t>
  </si>
  <si>
    <t>TC-CHECKOUT-004</t>
  </si>
  <si>
    <t>Finish checkout with empty cart</t>
  </si>
  <si>
    <t>Empty-cart overview is open</t>
  </si>
  <si>
    <t>1. Click Finish</t>
  </si>
  <si>
    <t>Order completion should be blocked when cart is empty</t>
  </si>
  <si>
    <t>Thank-you-for-order confirmation appeared</t>
  </si>
  <si>
    <t>BUG-CART-002; high priority provisional</t>
  </si>
  <si>
    <t>TC-CHECKOUT-005</t>
  </si>
  <si>
    <t>Valid checkout with Backpack</t>
  </si>
  <si>
    <t>1. Click Checkout
2. Enter valid details
3. Continue</t>
  </si>
  <si>
    <t>Overview shows correct item, tax and total</t>
  </si>
  <si>
    <t>Item $29.99; tax $2.40; total $32.39</t>
  </si>
  <si>
    <t>TC-CHECKOUT-006</t>
  </si>
  <si>
    <t>Validate missing last name</t>
  </si>
  <si>
    <t>Checkout information page open</t>
  </si>
  <si>
    <t>1. Fill first name and ZIP
2. Leave last name blank
3. Click Continue</t>
  </si>
  <si>
    <t>First name Naga; ZIP 500001</t>
  </si>
  <si>
    <t>Last Name is required error appears</t>
  </si>
  <si>
    <t>Last Name is required message appeared</t>
  </si>
  <si>
    <t>TC-CHECKOUT-007</t>
  </si>
  <si>
    <t>Validate missing postal code</t>
  </si>
  <si>
    <t>1. Fill first and last name
2. Leave ZIP blank
3. Click Continue</t>
  </si>
  <si>
    <t>Naga / Tester / blank ZIP</t>
  </si>
  <si>
    <t>Postal code is required error appears</t>
  </si>
  <si>
    <t>Postal code is required message appeared</t>
  </si>
  <si>
    <t>TC-CHECKOUT-008</t>
  </si>
  <si>
    <t>Validate all fields empty</t>
  </si>
  <si>
    <t>1. Leave all fields blank
2. Click Continue</t>
  </si>
  <si>
    <t>All fields blank</t>
  </si>
  <si>
    <t>First name is required error appears</t>
  </si>
  <si>
    <t>First name is required message appeared</t>
  </si>
  <si>
    <t>TC-CHECKOUT-009</t>
  </si>
  <si>
    <t>Verify checkout overview details</t>
  </si>
  <si>
    <t>Overview page is open</t>
  </si>
  <si>
    <t>1. Inspect payment, shipping, item total, tax and total</t>
  </si>
  <si>
    <t>Details and arithmetic are correct</t>
  </si>
  <si>
    <t>SauceCard #31337; Free Pony Express Delivery!; $29.99 + $2.40 = $32.39</t>
  </si>
  <si>
    <t>TC-CHECKOUT-010</t>
  </si>
  <si>
    <t>Retest Last Name input with error_user</t>
  </si>
  <si>
    <t>1. Enter last name
2. Click Continue
3. Observe field and next page</t>
  </si>
  <si>
    <t>Last Name field</t>
  </si>
  <si>
    <t>Entered text is visible and validation works correctly</t>
  </si>
  <si>
    <t>Last Name text did not visibly appear; Continue still opened overview</t>
  </si>
  <si>
    <t>BUG-CHECKOUT-001; reproduced</t>
  </si>
  <si>
    <t>TC-CHECKOUT-011</t>
  </si>
  <si>
    <t>Cancel from checkout overview</t>
  </si>
  <si>
    <t>Checkout overview is open</t>
  </si>
  <si>
    <t>1. Click Cancel</t>
  </si>
  <si>
    <t>Backpack in cart</t>
  </si>
  <si>
    <t>Returns to Products page without access error</t>
  </si>
  <si>
    <t>Products page opened during retest; product remained in cart</t>
  </si>
  <si>
    <t>Earlier intermittent redirect not reproduced</t>
  </si>
  <si>
    <t>TC-CHECKOUT-012</t>
  </si>
  <si>
    <t>Finish a valid order</t>
  </si>
  <si>
    <t>Valid order overview is open</t>
  </si>
  <si>
    <t>Order confirmation is displayed</t>
  </si>
  <si>
    <t>Successful order confirmation was observed in earlier run</t>
  </si>
  <si>
    <t>Recorded from prior test; reverify screenshot if needed</t>
  </si>
  <si>
    <t>TC-CHECKOUT-013</t>
  </si>
  <si>
    <t>Back Home after order</t>
  </si>
  <si>
    <t>Order confirmation is open</t>
  </si>
  <si>
    <t>1. Click Back Home</t>
  </si>
  <si>
    <t>Products page opens</t>
  </si>
  <si>
    <t>Products page opened</t>
  </si>
  <si>
    <t>TC-CHECKOUT-014</t>
  </si>
  <si>
    <t>Verify cart after order</t>
  </si>
  <si>
    <t>Order has been completed</t>
  </si>
  <si>
    <t>1. Return to Products
2. Inspect Backpack and cart</t>
  </si>
  <si>
    <t>Cart is empty and button says Add to cart</t>
  </si>
  <si>
    <t>Button showed Add to cart; cart empty</t>
  </si>
  <si>
    <t>TC-MENU-001</t>
  </si>
  <si>
    <t>Menu</t>
  </si>
  <si>
    <t>All Items menu option</t>
  </si>
  <si>
    <t>1. Open menu
2. Click All Items</t>
  </si>
  <si>
    <t>Products page is displayed</t>
  </si>
  <si>
    <t>No visible change while already on Products page</t>
  </si>
  <si>
    <t>Expected behavior</t>
  </si>
  <si>
    <t>TC-MENU-002</t>
  </si>
  <si>
    <t>About menu option</t>
  </si>
  <si>
    <t>1. Open menu
2. Click About</t>
  </si>
  <si>
    <t>Sauce Labs company page/details opens</t>
  </si>
  <si>
    <t>Sauce Labs website/details opened</t>
  </si>
  <si>
    <t>TC-MENU-003</t>
  </si>
  <si>
    <t>Logout menu option</t>
  </si>
  <si>
    <t>Login page opens</t>
  </si>
  <si>
    <t>Login page opened without error</t>
  </si>
  <si>
    <t>TC-MENU-004</t>
  </si>
  <si>
    <t>Cart is cleared</t>
  </si>
  <si>
    <t>Cart was cleared</t>
  </si>
  <si>
    <t>Separate test found button state inconsistency</t>
  </si>
  <si>
    <t>TC-MENU-005</t>
  </si>
  <si>
    <t>Verify state after Reset App State</t>
  </si>
  <si>
    <t>Reset App State was used</t>
  </si>
  <si>
    <t>1. Return to Products
2. Inspect Backpack
3. Add Backpack again</t>
  </si>
  <si>
    <t>Button reflects empty state and add-to-cart works</t>
  </si>
  <si>
    <t>Button showed Add to Cart; adding changed it to Remove and badge 1</t>
  </si>
  <si>
    <t>TC-MENU-006</t>
  </si>
  <si>
    <t>Verify button state after Reset App State</t>
  </si>
  <si>
    <t>1. Reset App State
2. Inspect product button</t>
  </si>
  <si>
    <t>Button should change to Add to cart after reset</t>
  </si>
  <si>
    <t>Cart empty but button still showed Remove</t>
  </si>
  <si>
    <t>TC-MENU-007</t>
  </si>
  <si>
    <t>Menu / Dynamic Catalog</t>
  </si>
  <si>
    <t>Verify Dynamic Catalog options</t>
  </si>
  <si>
    <t>1. Open menu
2. Expand Dynamic Catalog</t>
  </si>
  <si>
    <t>Lazy Load, Spinner and Slider options are available</t>
  </si>
  <si>
    <t>Options were Lazy Load, Spinner and Slider</t>
  </si>
  <si>
    <t>TC-MENU-007A</t>
  </si>
  <si>
    <t>Dynamic Catalog</t>
  </si>
  <si>
    <t>Lazy Load basic behavior</t>
  </si>
  <si>
    <t>Lazy Load page is open</t>
  </si>
  <si>
    <t>1. Scroll down through catalog</t>
  </si>
  <si>
    <t>More products load while scrolling</t>
  </si>
  <si>
    <t>More products were displayed as scrolling</t>
  </si>
  <si>
    <t>TC-MENU-007B</t>
  </si>
  <si>
    <t>Spinner catalog behavior</t>
  </si>
  <si>
    <t>Spinner page is open</t>
  </si>
  <si>
    <t>1. Inspect loaded products</t>
  </si>
  <si>
    <t>Catalog loads available products without unexpected errors</t>
  </si>
  <si>
    <t>Six products were visible and page loaded normally</t>
  </si>
  <si>
    <t>TC-MENU-007C</t>
  </si>
  <si>
    <t>Slider catalog initial display</t>
  </si>
  <si>
    <t>Slider page is open</t>
  </si>
  <si>
    <t>1. Inspect slider</t>
  </si>
  <si>
    <t>Slider shows one product at a time with navigation dots</t>
  </si>
  <si>
    <t>Six items total, one product at a time with dots</t>
  </si>
  <si>
    <t>TC-MENU-007D</t>
  </si>
  <si>
    <t>Slider navigation dots</t>
  </si>
  <si>
    <t>1. Click different navigation dots</t>
  </si>
  <si>
    <t>Slider dots</t>
  </si>
  <si>
    <t>Each dot changes the displayed product</t>
  </si>
  <si>
    <t>Different dots changed the displayed product</t>
  </si>
  <si>
    <t>TC-MENU-007E</t>
  </si>
  <si>
    <t>Spinner loads normally</t>
  </si>
  <si>
    <t>1. Wait for content
2. Observe page</t>
  </si>
  <si>
    <t>Available products load without unexpected errors</t>
  </si>
  <si>
    <t>Page loaded normally</t>
  </si>
  <si>
    <t>TC-MENU-007F</t>
  </si>
  <si>
    <t>Check Lazy Load for duplicate products</t>
  </si>
  <si>
    <t>1. Scroll continuously
2. Count products
3. Compare names after 16 items</t>
  </si>
  <si>
    <t>Catalog products</t>
  </si>
  <si>
    <t>Products should not repeat unintentionally</t>
  </si>
  <si>
    <t>After 16 products, some products repeated, including Test.allTheThings(), Fleece Jacket and Bolt T-Shirt</t>
  </si>
  <si>
    <t>TC-MENU-007G</t>
  </si>
  <si>
    <t>Check Slider product uniqueness</t>
  </si>
  <si>
    <t>1. Count dots
2. Click each dot
3. Compare product names</t>
  </si>
  <si>
    <t>Slider products</t>
  </si>
  <si>
    <t>Each dot shows its corresponding product without unintended repetition</t>
  </si>
  <si>
    <t>User reported all products were unique</t>
  </si>
  <si>
    <t>TC-MENU-007H</t>
  </si>
  <si>
    <t>Retest Slider after login error</t>
  </si>
  <si>
    <t>Login error had appeared on Slider route</t>
  </si>
  <si>
    <t>1. Log in again
2. Return to Slider</t>
  </si>
  <si>
    <t>/dynamic-catalog-slider.html</t>
  </si>
  <si>
    <t>Slider is accessible after login</t>
  </si>
  <si>
    <t>User could continue testing after logging in; initial result not fully isolated</t>
  </si>
  <si>
    <t>OBSERVATION</t>
  </si>
  <si>
    <t>Intermittent access error; see TC-MENU-007J</t>
  </si>
  <si>
    <t>TC-MENU-007I</t>
  </si>
  <si>
    <t>Cart / Session</t>
  </si>
  <si>
    <t>Check cart persistence after logout/login</t>
  </si>
  <si>
    <t>1. Log out
2. Log in again
3. Open cart</t>
  </si>
  <si>
    <t>Observe whether cart persists</t>
  </si>
  <si>
    <t>Product remained in cart</t>
  </si>
  <si>
    <t>Behavior recorded as observation; requirement not specified</t>
  </si>
  <si>
    <t>TC-MENU-007J</t>
  </si>
  <si>
    <t>Retest Slider navigation after fresh login</t>
  </si>
  <si>
    <t>User logged in again</t>
  </si>
  <si>
    <t>1. Open Dynamic Catalog &gt; Slider
2. Click a dot</t>
  </si>
  <si>
    <t>Slider page</t>
  </si>
  <si>
    <t>Slider opens and navigation controls work</t>
  </si>
  <si>
    <t>User confirmed it worked; earlier error not reproduced</t>
  </si>
  <si>
    <t>TC-MENU-008</t>
  </si>
  <si>
    <t>Earlier reported catalog access error</t>
  </si>
  <si>
    <t>Previously an inventory access error was seen during catalog navigation</t>
  </si>
  <si>
    <t>1. Navigate to the specific catalog option that produced the error</t>
  </si>
  <si>
    <t>Exact option not confidently identified</t>
  </si>
  <si>
    <t>Catalog option should open without login redirect</t>
  </si>
  <si>
    <t>Error observed earlier, but option identity is uncertain</t>
  </si>
  <si>
    <t>NEEDS REVIEW</t>
  </si>
  <si>
    <t>Do not treat as confirmed bug until exact option is retested</t>
  </si>
  <si>
    <t>SAUCEDEMO MANUAL TESTING — EXECUTION SUMMARY</t>
  </si>
  <si>
    <t>Metric</t>
  </si>
  <si>
    <t>Count</t>
  </si>
  <si>
    <t>Meaning</t>
  </si>
  <si>
    <t>Total recorded test cases</t>
  </si>
  <si>
    <t>Rows currently included in the Test Cases sheet</t>
  </si>
  <si>
    <t>Observed expected behavior</t>
  </si>
  <si>
    <t>Observed behavior did not meet expected result</t>
  </si>
  <si>
    <t>Needs review</t>
  </si>
  <si>
    <t>Not safe to classify as a confirmed result yet</t>
  </si>
  <si>
    <t>Observation / partial</t>
  </si>
  <si>
    <t>Recorded, but not a clean pass/fail</t>
  </si>
  <si>
    <t>Important notes</t>
  </si>
  <si>
    <t>• Counts are formula-driven and update when test statuses are edited.</t>
  </si>
  <si>
    <t>• This workbook is based on observations recorded in the conversation; not every case has screenshot evidence attached yet.</t>
  </si>
  <si>
    <t>• Some navigation errors were intermittent and not reproduced on retest. Keep them separate from confirmed defects.</t>
  </si>
  <si>
    <t>• The 'PASS' count is not the same as overall project completion.</t>
  </si>
  <si>
    <t>• Severity and final bug classification will be documented in the separate Bug Report deliverable.</t>
  </si>
  <si>
    <t>How to use</t>
  </si>
  <si>
    <t>Filter the Test Cases sheet by Module or Status. Add screenshot filenames in Notes / Evidence as evidence is captured. Review any 'NEEDS REVIEW' or 'OBSERVATION' rows before final submission.</t>
  </si>
  <si>
    <t>Field</t>
  </si>
  <si>
    <t>Details</t>
  </si>
  <si>
    <t>Application</t>
  </si>
  <si>
    <t>SauceDemo</t>
  </si>
  <si>
    <t>URL</t>
  </si>
  <si>
    <t>https://www.saucedemo.com/</t>
  </si>
  <si>
    <t>Testing type</t>
  </si>
  <si>
    <t>Manual functional testing</t>
  </si>
  <si>
    <t>Browser</t>
  </si>
  <si>
    <t>Chrome (reported by the user environment)</t>
  </si>
  <si>
    <t>Operating system</t>
  </si>
  <si>
    <t>Windows desktop (reported by the user environment)</t>
  </si>
  <si>
    <t>Accounts used</t>
  </si>
  <si>
    <t>standard_user, locked_out_user, performance_glitch_user, error_user, problem_user</t>
  </si>
  <si>
    <t>Test data</t>
  </si>
  <si>
    <t>Sauce Labs Backpack, Sauce Labs Bike Light, checkout information used during tests</t>
  </si>
  <si>
    <t>Limitations</t>
  </si>
  <si>
    <t>Results were recorded from interactive manual observations. Screenshots/evidence are not embedded in this workbook.</t>
  </si>
  <si>
    <t>BUG-CATALOG-001; evidence screenshot still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</si>
</sst>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5">
    <dxf>
      <fill>
        <patternFill patternType="solid">
          <fgColor rgb="FFD9EA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Table" displayName="TestCasesTable" ref="A1:K71">
  <autoFilter ref="A1:K71" xr:uid="{00000000-0009-0000-0100-000001000000}"/>
  <tableColumns count="11">
    <tableColumn id="1" xr3:uid="{00000000-0010-0000-0000-000001000000}" name="Test ID"/>
    <tableColumn id="2" xr3:uid="{00000000-0010-0000-0000-000002000000}" name="Module"/>
    <tableColumn id="3" xr3:uid="{00000000-0010-0000-0000-000003000000}" name="Test Scenario"/>
    <tableColumn id="4" xr3:uid="{00000000-0010-0000-0000-000004000000}" name="Preconditions"/>
    <tableColumn id="5" xr3:uid="{00000000-0010-0000-0000-000005000000}" name="Test Steps"/>
    <tableColumn id="6" xr3:uid="{00000000-0010-0000-0000-000006000000}" name="Test Data"/>
    <tableColumn id="7" xr3:uid="{00000000-0010-0000-0000-000007000000}" name="Expected Result"/>
    <tableColumn id="8" xr3:uid="{00000000-0010-0000-0000-000008000000}" name="Actual Result"/>
    <tableColumn id="9" xr3:uid="{00000000-0010-0000-0000-000009000000}" name="Status"/>
    <tableColumn id="10" xr3:uid="{00000000-0010-0000-0000-00000A000000}" name="Account"/>
    <tableColumn id="11" xr3:uid="{00000000-0010-0000-0000-00000B000000}" name="Notes /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showGridLines="0" tabSelected="1" topLeftCell="H1" workbookViewId="0">
      <pane ySplit="1" topLeftCell="A65" activePane="bottomLeft" state="frozen"/>
      <selection pane="bottomLeft" activeCell="K66" sqref="K66"/>
    </sheetView>
  </sheetViews>
  <sheetFormatPr defaultRowHeight="14.4" x14ac:dyDescent="0.3"/>
  <cols>
    <col min="1" max="1" width="17" customWidth="1"/>
    <col min="2" max="2" width="22" customWidth="1"/>
    <col min="3" max="3" width="36" customWidth="1"/>
    <col min="4" max="4" width="32" customWidth="1"/>
    <col min="5" max="5" width="42" customWidth="1"/>
    <col min="6" max="6" width="30" customWidth="1"/>
    <col min="7" max="7" width="38" customWidth="1"/>
    <col min="8" max="8" width="42" customWidth="1"/>
    <col min="9" max="9" width="16" customWidth="1"/>
    <col min="10" max="10" width="22" customWidth="1"/>
    <col min="11" max="11" width="42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7.95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</row>
    <row r="3" spans="1:11" ht="67.95" customHeight="1" x14ac:dyDescent="0.3">
      <c r="A3" s="2" t="s">
        <v>21</v>
      </c>
      <c r="B3" s="2" t="s">
        <v>12</v>
      </c>
      <c r="C3" s="2" t="s">
        <v>22</v>
      </c>
      <c r="D3" s="2" t="s">
        <v>14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19</v>
      </c>
      <c r="J3" s="2" t="s">
        <v>27</v>
      </c>
      <c r="K3" s="2"/>
    </row>
    <row r="4" spans="1:11" ht="67.95" customHeight="1" x14ac:dyDescent="0.3">
      <c r="A4" s="2" t="s">
        <v>28</v>
      </c>
      <c r="B4" s="2" t="s">
        <v>12</v>
      </c>
      <c r="C4" s="2" t="s">
        <v>29</v>
      </c>
      <c r="D4" s="2" t="s">
        <v>14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19</v>
      </c>
      <c r="J4" s="2" t="s">
        <v>34</v>
      </c>
      <c r="K4" s="2"/>
    </row>
    <row r="5" spans="1:11" ht="67.95" customHeight="1" x14ac:dyDescent="0.3">
      <c r="A5" s="2" t="s">
        <v>35</v>
      </c>
      <c r="B5" s="2" t="s">
        <v>12</v>
      </c>
      <c r="C5" s="2" t="s">
        <v>36</v>
      </c>
      <c r="D5" s="2" t="s">
        <v>14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19</v>
      </c>
      <c r="J5" s="2" t="s">
        <v>34</v>
      </c>
      <c r="K5" s="2"/>
    </row>
    <row r="6" spans="1:11" ht="67.95" customHeight="1" x14ac:dyDescent="0.3">
      <c r="A6" s="2" t="s">
        <v>41</v>
      </c>
      <c r="B6" s="2" t="s">
        <v>12</v>
      </c>
      <c r="C6" s="2" t="s">
        <v>42</v>
      </c>
      <c r="D6" s="2" t="s">
        <v>14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19</v>
      </c>
      <c r="J6" s="2" t="s">
        <v>47</v>
      </c>
      <c r="K6" s="2"/>
    </row>
    <row r="7" spans="1:11" ht="67.95" customHeight="1" x14ac:dyDescent="0.3">
      <c r="A7" s="2" t="s">
        <v>48</v>
      </c>
      <c r="B7" s="2" t="s">
        <v>12</v>
      </c>
      <c r="C7" s="2" t="s">
        <v>49</v>
      </c>
      <c r="D7" s="2" t="s">
        <v>14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19</v>
      </c>
      <c r="J7" s="2" t="s">
        <v>54</v>
      </c>
      <c r="K7" s="2" t="s">
        <v>55</v>
      </c>
    </row>
    <row r="8" spans="1:11" ht="67.95" customHeight="1" x14ac:dyDescent="0.3">
      <c r="A8" s="2" t="s">
        <v>56</v>
      </c>
      <c r="B8" s="2" t="s">
        <v>12</v>
      </c>
      <c r="C8" s="2" t="s">
        <v>57</v>
      </c>
      <c r="D8" s="2" t="s">
        <v>14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19</v>
      </c>
      <c r="J8" s="2" t="s">
        <v>62</v>
      </c>
      <c r="K8" s="2" t="s">
        <v>63</v>
      </c>
    </row>
    <row r="9" spans="1:11" ht="67.95" customHeight="1" x14ac:dyDescent="0.3">
      <c r="A9" s="2" t="s">
        <v>64</v>
      </c>
      <c r="B9" s="2" t="s">
        <v>12</v>
      </c>
      <c r="C9" s="2" t="s">
        <v>65</v>
      </c>
      <c r="D9" s="2" t="s">
        <v>66</v>
      </c>
      <c r="E9" s="2" t="s">
        <v>67</v>
      </c>
      <c r="F9" s="2" t="s">
        <v>20</v>
      </c>
      <c r="G9" s="2" t="s">
        <v>68</v>
      </c>
      <c r="H9" s="2" t="s">
        <v>69</v>
      </c>
      <c r="I9" s="2" t="s">
        <v>19</v>
      </c>
      <c r="J9" s="2" t="s">
        <v>20</v>
      </c>
      <c r="K9" s="2"/>
    </row>
    <row r="10" spans="1:11" ht="67.95" customHeight="1" x14ac:dyDescent="0.3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34</v>
      </c>
      <c r="G10" s="2" t="s">
        <v>75</v>
      </c>
      <c r="H10" s="2" t="s">
        <v>76</v>
      </c>
      <c r="I10" s="2" t="s">
        <v>19</v>
      </c>
      <c r="J10" s="2" t="s">
        <v>34</v>
      </c>
      <c r="K10" s="2"/>
    </row>
    <row r="11" spans="1:11" ht="67.95" customHeight="1" x14ac:dyDescent="0.3">
      <c r="A11" s="2" t="s">
        <v>77</v>
      </c>
      <c r="B11" s="2" t="s">
        <v>71</v>
      </c>
      <c r="C11" s="2" t="s">
        <v>78</v>
      </c>
      <c r="D11" s="2" t="s">
        <v>14</v>
      </c>
      <c r="E11" s="2" t="s">
        <v>79</v>
      </c>
      <c r="F11" s="2" t="s">
        <v>80</v>
      </c>
      <c r="G11" s="2" t="s">
        <v>81</v>
      </c>
      <c r="H11" s="2" t="s">
        <v>82</v>
      </c>
      <c r="I11" s="2" t="s">
        <v>19</v>
      </c>
      <c r="J11" s="2" t="s">
        <v>34</v>
      </c>
      <c r="K11" s="2"/>
    </row>
    <row r="12" spans="1:11" ht="67.95" customHeight="1" x14ac:dyDescent="0.3">
      <c r="A12" s="2" t="s">
        <v>83</v>
      </c>
      <c r="B12" s="2" t="s">
        <v>71</v>
      </c>
      <c r="C12" s="2" t="s">
        <v>84</v>
      </c>
      <c r="D12" s="2" t="s">
        <v>14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19</v>
      </c>
      <c r="J12" s="2" t="s">
        <v>34</v>
      </c>
      <c r="K12" s="2"/>
    </row>
    <row r="13" spans="1:11" ht="67.95" customHeight="1" x14ac:dyDescent="0.3">
      <c r="A13" s="2" t="s">
        <v>89</v>
      </c>
      <c r="B13" s="2" t="s">
        <v>71</v>
      </c>
      <c r="C13" s="2" t="s">
        <v>90</v>
      </c>
      <c r="D13" s="2" t="s">
        <v>14</v>
      </c>
      <c r="E13" s="2" t="s">
        <v>91</v>
      </c>
      <c r="F13" s="2" t="s">
        <v>92</v>
      </c>
      <c r="G13" s="2" t="s">
        <v>87</v>
      </c>
      <c r="H13" s="2" t="s">
        <v>93</v>
      </c>
      <c r="I13" s="2" t="s">
        <v>19</v>
      </c>
      <c r="J13" s="2" t="s">
        <v>34</v>
      </c>
      <c r="K13" s="2"/>
    </row>
    <row r="14" spans="1:11" ht="67.95" customHeight="1" x14ac:dyDescent="0.3">
      <c r="A14" s="2" t="s">
        <v>94</v>
      </c>
      <c r="B14" s="2" t="s">
        <v>71</v>
      </c>
      <c r="C14" s="2" t="s">
        <v>95</v>
      </c>
      <c r="D14" s="2" t="s">
        <v>14</v>
      </c>
      <c r="E14" s="2" t="s">
        <v>96</v>
      </c>
      <c r="F14" s="2" t="s">
        <v>97</v>
      </c>
      <c r="G14" s="2" t="s">
        <v>87</v>
      </c>
      <c r="H14" s="2" t="s">
        <v>98</v>
      </c>
      <c r="I14" s="2" t="s">
        <v>19</v>
      </c>
      <c r="J14" s="2" t="s">
        <v>34</v>
      </c>
      <c r="K14" s="2"/>
    </row>
    <row r="15" spans="1:11" ht="67.95" customHeight="1" x14ac:dyDescent="0.3">
      <c r="A15" s="2" t="s">
        <v>99</v>
      </c>
      <c r="B15" s="2" t="s">
        <v>71</v>
      </c>
      <c r="C15" s="2" t="s">
        <v>100</v>
      </c>
      <c r="D15" s="2" t="s">
        <v>14</v>
      </c>
      <c r="E15" s="2" t="s">
        <v>101</v>
      </c>
      <c r="F15" s="2" t="s">
        <v>102</v>
      </c>
      <c r="G15" s="2" t="s">
        <v>87</v>
      </c>
      <c r="H15" s="2" t="s">
        <v>103</v>
      </c>
      <c r="I15" s="2" t="s">
        <v>19</v>
      </c>
      <c r="J15" s="2" t="s">
        <v>34</v>
      </c>
      <c r="K15" s="2"/>
    </row>
    <row r="16" spans="1:11" ht="67.95" customHeight="1" x14ac:dyDescent="0.3">
      <c r="A16" s="2" t="s">
        <v>104</v>
      </c>
      <c r="B16" s="2" t="s">
        <v>71</v>
      </c>
      <c r="C16" s="2" t="s">
        <v>105</v>
      </c>
      <c r="D16" s="2" t="s">
        <v>106</v>
      </c>
      <c r="E16" s="2" t="s">
        <v>107</v>
      </c>
      <c r="F16" s="2" t="s">
        <v>34</v>
      </c>
      <c r="G16" s="2" t="s">
        <v>108</v>
      </c>
      <c r="H16" s="2" t="s">
        <v>109</v>
      </c>
      <c r="I16" s="2" t="s">
        <v>19</v>
      </c>
      <c r="J16" s="2" t="s">
        <v>20</v>
      </c>
      <c r="K16" s="2"/>
    </row>
    <row r="17" spans="1:11" ht="67.95" customHeight="1" x14ac:dyDescent="0.3">
      <c r="A17" s="2" t="s">
        <v>110</v>
      </c>
      <c r="B17" s="2" t="s">
        <v>71</v>
      </c>
      <c r="C17" s="2" t="s">
        <v>111</v>
      </c>
      <c r="D17" s="2" t="s">
        <v>112</v>
      </c>
      <c r="E17" s="2" t="s">
        <v>113</v>
      </c>
      <c r="F17" s="2" t="s">
        <v>114</v>
      </c>
      <c r="G17" s="2" t="s">
        <v>115</v>
      </c>
      <c r="H17" s="2" t="s">
        <v>116</v>
      </c>
      <c r="I17" s="2" t="s">
        <v>19</v>
      </c>
      <c r="J17" s="2" t="s">
        <v>20</v>
      </c>
      <c r="K17" s="2"/>
    </row>
    <row r="18" spans="1:11" ht="67.95" customHeight="1" x14ac:dyDescent="0.3">
      <c r="A18" s="2" t="s">
        <v>117</v>
      </c>
      <c r="B18" s="2" t="s">
        <v>71</v>
      </c>
      <c r="C18" s="2" t="s">
        <v>118</v>
      </c>
      <c r="D18" s="2" t="s">
        <v>119</v>
      </c>
      <c r="E18" s="2" t="s">
        <v>120</v>
      </c>
      <c r="F18" s="2" t="s">
        <v>114</v>
      </c>
      <c r="G18" s="2" t="s">
        <v>121</v>
      </c>
      <c r="H18" s="2" t="s">
        <v>122</v>
      </c>
      <c r="I18" s="2" t="s">
        <v>19</v>
      </c>
      <c r="J18" s="2" t="s">
        <v>20</v>
      </c>
      <c r="K18" s="2"/>
    </row>
    <row r="19" spans="1:11" ht="67.95" customHeight="1" x14ac:dyDescent="0.3">
      <c r="A19" s="2" t="s">
        <v>123</v>
      </c>
      <c r="B19" s="2" t="s">
        <v>71</v>
      </c>
      <c r="C19" s="2" t="s">
        <v>124</v>
      </c>
      <c r="D19" s="2" t="s">
        <v>125</v>
      </c>
      <c r="E19" s="2" t="s">
        <v>126</v>
      </c>
      <c r="F19" s="2" t="s">
        <v>16</v>
      </c>
      <c r="G19" s="2" t="s">
        <v>127</v>
      </c>
      <c r="H19" s="2" t="s">
        <v>61</v>
      </c>
      <c r="I19" s="2" t="s">
        <v>19</v>
      </c>
      <c r="J19" s="2" t="s">
        <v>20</v>
      </c>
      <c r="K19" s="2"/>
    </row>
    <row r="20" spans="1:11" ht="67.95" customHeight="1" x14ac:dyDescent="0.3">
      <c r="A20" s="2" t="s">
        <v>128</v>
      </c>
      <c r="B20" s="2" t="s">
        <v>71</v>
      </c>
      <c r="C20" s="2" t="s">
        <v>129</v>
      </c>
      <c r="D20" s="2" t="s">
        <v>130</v>
      </c>
      <c r="E20" s="2" t="s">
        <v>131</v>
      </c>
      <c r="F20" s="2" t="s">
        <v>114</v>
      </c>
      <c r="G20" s="2" t="s">
        <v>132</v>
      </c>
      <c r="H20" s="2" t="s">
        <v>133</v>
      </c>
      <c r="I20" s="2" t="s">
        <v>19</v>
      </c>
      <c r="J20" s="2" t="s">
        <v>62</v>
      </c>
      <c r="K20" s="2" t="s">
        <v>134</v>
      </c>
    </row>
    <row r="21" spans="1:11" ht="67.95" customHeight="1" x14ac:dyDescent="0.3">
      <c r="A21" s="2" t="s">
        <v>135</v>
      </c>
      <c r="B21" s="2" t="s">
        <v>136</v>
      </c>
      <c r="C21" s="2" t="s">
        <v>137</v>
      </c>
      <c r="D21" s="2" t="s">
        <v>66</v>
      </c>
      <c r="E21" s="2" t="s">
        <v>138</v>
      </c>
      <c r="F21" s="2" t="s">
        <v>34</v>
      </c>
      <c r="G21" s="2" t="s">
        <v>139</v>
      </c>
      <c r="H21" s="2" t="s">
        <v>140</v>
      </c>
      <c r="I21" s="2" t="s">
        <v>19</v>
      </c>
      <c r="J21" s="2" t="s">
        <v>20</v>
      </c>
      <c r="K21" s="2"/>
    </row>
    <row r="22" spans="1:11" ht="67.95" customHeight="1" x14ac:dyDescent="0.3">
      <c r="A22" s="2" t="s">
        <v>141</v>
      </c>
      <c r="B22" s="2" t="s">
        <v>142</v>
      </c>
      <c r="C22" s="2" t="s">
        <v>143</v>
      </c>
      <c r="D22" s="2" t="s">
        <v>66</v>
      </c>
      <c r="E22" s="2" t="s">
        <v>144</v>
      </c>
      <c r="F22" s="2" t="s">
        <v>145</v>
      </c>
      <c r="G22" s="2" t="s">
        <v>146</v>
      </c>
      <c r="H22" s="2" t="s">
        <v>147</v>
      </c>
      <c r="I22" s="2" t="s">
        <v>19</v>
      </c>
      <c r="J22" s="2" t="s">
        <v>20</v>
      </c>
      <c r="K22" s="2" t="s">
        <v>148</v>
      </c>
    </row>
    <row r="23" spans="1:11" ht="67.95" customHeight="1" x14ac:dyDescent="0.3">
      <c r="A23" s="2" t="s">
        <v>149</v>
      </c>
      <c r="B23" s="2" t="s">
        <v>142</v>
      </c>
      <c r="C23" s="2" t="s">
        <v>150</v>
      </c>
      <c r="D23" s="2" t="s">
        <v>66</v>
      </c>
      <c r="E23" s="2" t="s">
        <v>151</v>
      </c>
      <c r="F23" s="2" t="s">
        <v>152</v>
      </c>
      <c r="G23" s="2" t="s">
        <v>153</v>
      </c>
      <c r="H23" s="2" t="s">
        <v>154</v>
      </c>
      <c r="I23" s="2" t="s">
        <v>19</v>
      </c>
      <c r="J23" s="2" t="s">
        <v>20</v>
      </c>
      <c r="K23" s="2" t="s">
        <v>148</v>
      </c>
    </row>
    <row r="24" spans="1:11" ht="67.95" customHeight="1" x14ac:dyDescent="0.3">
      <c r="A24" s="2" t="s">
        <v>155</v>
      </c>
      <c r="B24" s="2" t="s">
        <v>142</v>
      </c>
      <c r="C24" s="2" t="s">
        <v>156</v>
      </c>
      <c r="D24" s="2" t="s">
        <v>66</v>
      </c>
      <c r="E24" s="2" t="s">
        <v>157</v>
      </c>
      <c r="F24" s="2" t="s">
        <v>158</v>
      </c>
      <c r="G24" s="2" t="s">
        <v>159</v>
      </c>
      <c r="H24" s="2" t="s">
        <v>160</v>
      </c>
      <c r="I24" s="2" t="s">
        <v>19</v>
      </c>
      <c r="J24" s="2" t="s">
        <v>20</v>
      </c>
      <c r="K24" s="2" t="s">
        <v>148</v>
      </c>
    </row>
    <row r="25" spans="1:11" ht="67.95" customHeight="1" x14ac:dyDescent="0.3">
      <c r="A25" s="2" t="s">
        <v>161</v>
      </c>
      <c r="B25" s="2" t="s">
        <v>142</v>
      </c>
      <c r="C25" s="2" t="s">
        <v>162</v>
      </c>
      <c r="D25" s="2" t="s">
        <v>66</v>
      </c>
      <c r="E25" s="2" t="s">
        <v>163</v>
      </c>
      <c r="F25" s="2" t="s">
        <v>164</v>
      </c>
      <c r="G25" s="2" t="s">
        <v>165</v>
      </c>
      <c r="H25" s="2" t="s">
        <v>166</v>
      </c>
      <c r="I25" s="2" t="s">
        <v>19</v>
      </c>
      <c r="J25" s="2" t="s">
        <v>20</v>
      </c>
      <c r="K25" s="2" t="s">
        <v>148</v>
      </c>
    </row>
    <row r="26" spans="1:11" ht="67.95" customHeight="1" x14ac:dyDescent="0.3">
      <c r="A26" s="2" t="s">
        <v>167</v>
      </c>
      <c r="B26" s="2" t="s">
        <v>142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  <c r="H26" s="2" t="s">
        <v>173</v>
      </c>
      <c r="I26" s="2" t="s">
        <v>174</v>
      </c>
      <c r="J26" s="2" t="s">
        <v>62</v>
      </c>
      <c r="K26" s="2" t="s">
        <v>175</v>
      </c>
    </row>
    <row r="27" spans="1:11" ht="67.95" customHeight="1" x14ac:dyDescent="0.3">
      <c r="A27" s="2" t="s">
        <v>176</v>
      </c>
      <c r="B27" s="2" t="s">
        <v>136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  <c r="H27" s="2" t="s">
        <v>182</v>
      </c>
      <c r="I27" s="2" t="s">
        <v>174</v>
      </c>
      <c r="J27" s="2" t="s">
        <v>180</v>
      </c>
      <c r="K27" s="2" t="s">
        <v>183</v>
      </c>
    </row>
    <row r="28" spans="1:11" ht="67.95" customHeight="1" x14ac:dyDescent="0.3">
      <c r="A28" s="2" t="s">
        <v>184</v>
      </c>
      <c r="B28" s="2" t="s">
        <v>185</v>
      </c>
      <c r="C28" s="2" t="s">
        <v>186</v>
      </c>
      <c r="D28" s="2" t="s">
        <v>187</v>
      </c>
      <c r="E28" s="2" t="s">
        <v>188</v>
      </c>
      <c r="F28" s="2" t="s">
        <v>114</v>
      </c>
      <c r="G28" s="2" t="s">
        <v>189</v>
      </c>
      <c r="H28" s="2" t="s">
        <v>190</v>
      </c>
      <c r="I28" s="2" t="s">
        <v>19</v>
      </c>
      <c r="J28" s="2" t="s">
        <v>20</v>
      </c>
      <c r="K28" s="2"/>
    </row>
    <row r="29" spans="1:11" ht="67.95" customHeight="1" x14ac:dyDescent="0.3">
      <c r="A29" s="2" t="s">
        <v>191</v>
      </c>
      <c r="B29" s="2" t="s">
        <v>185</v>
      </c>
      <c r="C29" s="2" t="s">
        <v>192</v>
      </c>
      <c r="D29" s="2" t="s">
        <v>112</v>
      </c>
      <c r="E29" s="2" t="s">
        <v>193</v>
      </c>
      <c r="F29" s="2" t="s">
        <v>114</v>
      </c>
      <c r="G29" s="2" t="s">
        <v>194</v>
      </c>
      <c r="H29" s="2" t="s">
        <v>195</v>
      </c>
      <c r="I29" s="2" t="s">
        <v>19</v>
      </c>
      <c r="J29" s="2" t="s">
        <v>20</v>
      </c>
      <c r="K29" s="2"/>
    </row>
    <row r="30" spans="1:11" ht="67.95" customHeight="1" x14ac:dyDescent="0.3">
      <c r="A30" s="2" t="s">
        <v>196</v>
      </c>
      <c r="B30" s="2" t="s">
        <v>185</v>
      </c>
      <c r="C30" s="2" t="s">
        <v>197</v>
      </c>
      <c r="D30" s="2" t="s">
        <v>119</v>
      </c>
      <c r="E30" s="2" t="s">
        <v>198</v>
      </c>
      <c r="F30" s="2" t="s">
        <v>114</v>
      </c>
      <c r="G30" s="2" t="s">
        <v>199</v>
      </c>
      <c r="H30" s="2" t="s">
        <v>200</v>
      </c>
      <c r="I30" s="2" t="s">
        <v>19</v>
      </c>
      <c r="J30" s="2" t="s">
        <v>20</v>
      </c>
      <c r="K30" s="2"/>
    </row>
    <row r="31" spans="1:11" ht="67.95" customHeight="1" x14ac:dyDescent="0.3">
      <c r="A31" s="2" t="s">
        <v>201</v>
      </c>
      <c r="B31" s="2" t="s">
        <v>185</v>
      </c>
      <c r="C31" s="2" t="s">
        <v>202</v>
      </c>
      <c r="D31" s="2" t="s">
        <v>187</v>
      </c>
      <c r="E31" s="2" t="s">
        <v>203</v>
      </c>
      <c r="F31" s="2" t="s">
        <v>204</v>
      </c>
      <c r="G31" s="2" t="s">
        <v>205</v>
      </c>
      <c r="H31" s="2" t="s">
        <v>206</v>
      </c>
      <c r="I31" s="2" t="s">
        <v>19</v>
      </c>
      <c r="J31" s="2" t="s">
        <v>20</v>
      </c>
      <c r="K31" s="2"/>
    </row>
    <row r="32" spans="1:11" ht="67.95" customHeight="1" x14ac:dyDescent="0.3">
      <c r="A32" s="2" t="s">
        <v>207</v>
      </c>
      <c r="B32" s="2" t="s">
        <v>185</v>
      </c>
      <c r="C32" s="2" t="s">
        <v>208</v>
      </c>
      <c r="D32" s="2" t="s">
        <v>209</v>
      </c>
      <c r="E32" s="2" t="s">
        <v>210</v>
      </c>
      <c r="F32" s="2" t="s">
        <v>204</v>
      </c>
      <c r="G32" s="2" t="s">
        <v>211</v>
      </c>
      <c r="H32" s="2" t="s">
        <v>212</v>
      </c>
      <c r="I32" s="2" t="s">
        <v>19</v>
      </c>
      <c r="J32" s="2" t="s">
        <v>20</v>
      </c>
      <c r="K32" s="2"/>
    </row>
    <row r="33" spans="1:11" ht="67.95" customHeight="1" x14ac:dyDescent="0.3">
      <c r="A33" s="2" t="s">
        <v>213</v>
      </c>
      <c r="B33" s="2" t="s">
        <v>185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  <c r="H33" s="2" t="s">
        <v>219</v>
      </c>
      <c r="I33" s="2" t="s">
        <v>19</v>
      </c>
      <c r="J33" s="2" t="s">
        <v>20</v>
      </c>
      <c r="K33" s="2"/>
    </row>
    <row r="34" spans="1:11" ht="67.95" customHeight="1" x14ac:dyDescent="0.3">
      <c r="A34" s="2" t="s">
        <v>220</v>
      </c>
      <c r="B34" s="2" t="s">
        <v>185</v>
      </c>
      <c r="C34" s="2" t="s">
        <v>221</v>
      </c>
      <c r="D34" s="2" t="s">
        <v>222</v>
      </c>
      <c r="E34" s="2" t="s">
        <v>223</v>
      </c>
      <c r="F34" s="2" t="s">
        <v>34</v>
      </c>
      <c r="G34" s="2" t="s">
        <v>224</v>
      </c>
      <c r="H34" s="2" t="s">
        <v>225</v>
      </c>
      <c r="I34" s="2" t="s">
        <v>19</v>
      </c>
      <c r="J34" s="2" t="s">
        <v>20</v>
      </c>
      <c r="K34" s="2"/>
    </row>
    <row r="35" spans="1:11" ht="67.95" customHeight="1" x14ac:dyDescent="0.3">
      <c r="A35" s="2" t="s">
        <v>226</v>
      </c>
      <c r="B35" s="2" t="s">
        <v>185</v>
      </c>
      <c r="C35" s="2" t="s">
        <v>227</v>
      </c>
      <c r="D35" s="2" t="s">
        <v>228</v>
      </c>
      <c r="E35" s="2" t="s">
        <v>229</v>
      </c>
      <c r="F35" s="2" t="s">
        <v>230</v>
      </c>
      <c r="G35" s="2" t="s">
        <v>231</v>
      </c>
      <c r="H35" s="2" t="s">
        <v>232</v>
      </c>
      <c r="I35" s="2" t="s">
        <v>19</v>
      </c>
      <c r="J35" s="2" t="s">
        <v>20</v>
      </c>
      <c r="K35" s="2" t="s">
        <v>233</v>
      </c>
    </row>
    <row r="36" spans="1:11" ht="67.95" customHeight="1" x14ac:dyDescent="0.3">
      <c r="A36" s="2" t="s">
        <v>234</v>
      </c>
      <c r="B36" s="2" t="s">
        <v>185</v>
      </c>
      <c r="C36" s="2" t="s">
        <v>235</v>
      </c>
      <c r="D36" s="2" t="s">
        <v>236</v>
      </c>
      <c r="E36" s="2" t="s">
        <v>223</v>
      </c>
      <c r="F36" s="2" t="s">
        <v>230</v>
      </c>
      <c r="G36" s="2" t="s">
        <v>237</v>
      </c>
      <c r="H36" s="2" t="s">
        <v>238</v>
      </c>
      <c r="I36" s="2" t="s">
        <v>19</v>
      </c>
      <c r="J36" s="2" t="s">
        <v>20</v>
      </c>
      <c r="K36" s="2"/>
    </row>
    <row r="37" spans="1:11" ht="67.95" customHeight="1" x14ac:dyDescent="0.3">
      <c r="A37" s="2" t="s">
        <v>239</v>
      </c>
      <c r="B37" s="2" t="s">
        <v>185</v>
      </c>
      <c r="C37" s="2" t="s">
        <v>240</v>
      </c>
      <c r="D37" s="2" t="s">
        <v>241</v>
      </c>
      <c r="E37" s="2" t="s">
        <v>242</v>
      </c>
      <c r="F37" s="2" t="s">
        <v>114</v>
      </c>
      <c r="G37" s="2" t="s">
        <v>243</v>
      </c>
      <c r="H37" s="2" t="s">
        <v>244</v>
      </c>
      <c r="I37" s="2" t="s">
        <v>174</v>
      </c>
      <c r="J37" s="2" t="s">
        <v>62</v>
      </c>
      <c r="K37" s="2" t="s">
        <v>245</v>
      </c>
    </row>
    <row r="38" spans="1:11" ht="67.95" customHeight="1" x14ac:dyDescent="0.3">
      <c r="A38" s="2" t="s">
        <v>246</v>
      </c>
      <c r="B38" s="2" t="s">
        <v>185</v>
      </c>
      <c r="C38" s="2" t="s">
        <v>247</v>
      </c>
      <c r="D38" s="2" t="s">
        <v>248</v>
      </c>
      <c r="E38" s="2" t="s">
        <v>249</v>
      </c>
      <c r="F38" s="2" t="s">
        <v>114</v>
      </c>
      <c r="G38" s="2" t="s">
        <v>250</v>
      </c>
      <c r="H38" s="2" t="s">
        <v>251</v>
      </c>
      <c r="I38" s="2" t="s">
        <v>19</v>
      </c>
      <c r="J38" s="2" t="s">
        <v>20</v>
      </c>
      <c r="K38" s="2" t="s">
        <v>252</v>
      </c>
    </row>
    <row r="39" spans="1:11" ht="67.95" customHeight="1" x14ac:dyDescent="0.3">
      <c r="A39" s="2" t="s">
        <v>253</v>
      </c>
      <c r="B39" s="2" t="s">
        <v>185</v>
      </c>
      <c r="C39" s="2" t="s">
        <v>254</v>
      </c>
      <c r="D39" s="2" t="s">
        <v>228</v>
      </c>
      <c r="E39" s="2" t="s">
        <v>255</v>
      </c>
      <c r="F39" s="2" t="s">
        <v>114</v>
      </c>
      <c r="G39" s="2" t="s">
        <v>256</v>
      </c>
      <c r="H39" s="2" t="s">
        <v>257</v>
      </c>
      <c r="I39" s="2" t="s">
        <v>174</v>
      </c>
      <c r="J39" s="2" t="s">
        <v>258</v>
      </c>
      <c r="K39" s="2" t="s">
        <v>259</v>
      </c>
    </row>
    <row r="40" spans="1:11" ht="67.95" customHeight="1" x14ac:dyDescent="0.3">
      <c r="A40" s="2" t="s">
        <v>260</v>
      </c>
      <c r="B40" s="2" t="s">
        <v>261</v>
      </c>
      <c r="C40" s="2" t="s">
        <v>262</v>
      </c>
      <c r="D40" s="2" t="s">
        <v>222</v>
      </c>
      <c r="E40" s="2" t="s">
        <v>263</v>
      </c>
      <c r="F40" s="2" t="s">
        <v>34</v>
      </c>
      <c r="G40" s="2" t="s">
        <v>264</v>
      </c>
      <c r="H40" s="2" t="s">
        <v>265</v>
      </c>
      <c r="I40" s="2" t="s">
        <v>174</v>
      </c>
      <c r="J40" s="2" t="s">
        <v>20</v>
      </c>
      <c r="K40" s="2" t="s">
        <v>266</v>
      </c>
    </row>
    <row r="41" spans="1:11" ht="67.95" customHeight="1" x14ac:dyDescent="0.3">
      <c r="A41" s="2" t="s">
        <v>267</v>
      </c>
      <c r="B41" s="2" t="s">
        <v>261</v>
      </c>
      <c r="C41" s="2" t="s">
        <v>268</v>
      </c>
      <c r="D41" s="2" t="s">
        <v>269</v>
      </c>
      <c r="E41" s="2" t="s">
        <v>270</v>
      </c>
      <c r="F41" s="2" t="s">
        <v>271</v>
      </c>
      <c r="G41" s="2" t="s">
        <v>272</v>
      </c>
      <c r="H41" s="2" t="s">
        <v>273</v>
      </c>
      <c r="I41" s="2" t="s">
        <v>174</v>
      </c>
      <c r="J41" s="2" t="s">
        <v>20</v>
      </c>
      <c r="K41" s="2" t="s">
        <v>266</v>
      </c>
    </row>
    <row r="42" spans="1:11" ht="67.95" customHeight="1" x14ac:dyDescent="0.3">
      <c r="A42" s="2" t="s">
        <v>274</v>
      </c>
      <c r="B42" s="2" t="s">
        <v>261</v>
      </c>
      <c r="C42" s="2" t="s">
        <v>275</v>
      </c>
      <c r="D42" s="2" t="s">
        <v>276</v>
      </c>
      <c r="E42" s="2" t="s">
        <v>277</v>
      </c>
      <c r="F42" s="2" t="s">
        <v>34</v>
      </c>
      <c r="G42" s="2" t="s">
        <v>278</v>
      </c>
      <c r="H42" s="2" t="s">
        <v>279</v>
      </c>
      <c r="I42" s="2" t="s">
        <v>174</v>
      </c>
      <c r="J42" s="2" t="s">
        <v>20</v>
      </c>
      <c r="K42" s="2" t="s">
        <v>266</v>
      </c>
    </row>
    <row r="43" spans="1:11" ht="67.95" customHeight="1" x14ac:dyDescent="0.3">
      <c r="A43" s="2" t="s">
        <v>280</v>
      </c>
      <c r="B43" s="2" t="s">
        <v>261</v>
      </c>
      <c r="C43" s="2" t="s">
        <v>281</v>
      </c>
      <c r="D43" s="2" t="s">
        <v>282</v>
      </c>
      <c r="E43" s="2" t="s">
        <v>283</v>
      </c>
      <c r="F43" s="2" t="s">
        <v>34</v>
      </c>
      <c r="G43" s="2" t="s">
        <v>284</v>
      </c>
      <c r="H43" s="2" t="s">
        <v>285</v>
      </c>
      <c r="I43" s="2" t="s">
        <v>174</v>
      </c>
      <c r="J43" s="2" t="s">
        <v>20</v>
      </c>
      <c r="K43" s="2" t="s">
        <v>286</v>
      </c>
    </row>
    <row r="44" spans="1:11" ht="67.95" customHeight="1" x14ac:dyDescent="0.3">
      <c r="A44" s="2" t="s">
        <v>287</v>
      </c>
      <c r="B44" s="2" t="s">
        <v>261</v>
      </c>
      <c r="C44" s="2" t="s">
        <v>288</v>
      </c>
      <c r="D44" s="2" t="s">
        <v>112</v>
      </c>
      <c r="E44" s="2" t="s">
        <v>289</v>
      </c>
      <c r="F44" s="2" t="s">
        <v>271</v>
      </c>
      <c r="G44" s="2" t="s">
        <v>290</v>
      </c>
      <c r="H44" s="2" t="s">
        <v>291</v>
      </c>
      <c r="I44" s="2" t="s">
        <v>19</v>
      </c>
      <c r="J44" s="2" t="s">
        <v>20</v>
      </c>
      <c r="K44" s="2"/>
    </row>
    <row r="45" spans="1:11" ht="67.95" customHeight="1" x14ac:dyDescent="0.3">
      <c r="A45" s="2" t="s">
        <v>292</v>
      </c>
      <c r="B45" s="2" t="s">
        <v>261</v>
      </c>
      <c r="C45" s="2" t="s">
        <v>293</v>
      </c>
      <c r="D45" s="2" t="s">
        <v>294</v>
      </c>
      <c r="E45" s="2" t="s">
        <v>295</v>
      </c>
      <c r="F45" s="2" t="s">
        <v>296</v>
      </c>
      <c r="G45" s="2" t="s">
        <v>297</v>
      </c>
      <c r="H45" s="2" t="s">
        <v>298</v>
      </c>
      <c r="I45" s="2" t="s">
        <v>19</v>
      </c>
      <c r="J45" s="2" t="s">
        <v>20</v>
      </c>
      <c r="K45" s="2"/>
    </row>
    <row r="46" spans="1:11" ht="67.95" customHeight="1" x14ac:dyDescent="0.3">
      <c r="A46" s="2" t="s">
        <v>299</v>
      </c>
      <c r="B46" s="2" t="s">
        <v>261</v>
      </c>
      <c r="C46" s="2" t="s">
        <v>300</v>
      </c>
      <c r="D46" s="2" t="s">
        <v>294</v>
      </c>
      <c r="E46" s="2" t="s">
        <v>301</v>
      </c>
      <c r="F46" s="2" t="s">
        <v>302</v>
      </c>
      <c r="G46" s="2" t="s">
        <v>303</v>
      </c>
      <c r="H46" s="2" t="s">
        <v>304</v>
      </c>
      <c r="I46" s="2" t="s">
        <v>19</v>
      </c>
      <c r="J46" s="2" t="s">
        <v>20</v>
      </c>
      <c r="K46" s="2"/>
    </row>
    <row r="47" spans="1:11" ht="67.95" customHeight="1" x14ac:dyDescent="0.3">
      <c r="A47" s="2" t="s">
        <v>305</v>
      </c>
      <c r="B47" s="2" t="s">
        <v>261</v>
      </c>
      <c r="C47" s="2" t="s">
        <v>306</v>
      </c>
      <c r="D47" s="2" t="s">
        <v>294</v>
      </c>
      <c r="E47" s="2" t="s">
        <v>307</v>
      </c>
      <c r="F47" s="2" t="s">
        <v>308</v>
      </c>
      <c r="G47" s="2" t="s">
        <v>309</v>
      </c>
      <c r="H47" s="2" t="s">
        <v>310</v>
      </c>
      <c r="I47" s="2" t="s">
        <v>19</v>
      </c>
      <c r="J47" s="2" t="s">
        <v>20</v>
      </c>
      <c r="K47" s="2"/>
    </row>
    <row r="48" spans="1:11" ht="67.95" customHeight="1" x14ac:dyDescent="0.3">
      <c r="A48" s="2" t="s">
        <v>311</v>
      </c>
      <c r="B48" s="2" t="s">
        <v>261</v>
      </c>
      <c r="C48" s="2" t="s">
        <v>312</v>
      </c>
      <c r="D48" s="2" t="s">
        <v>313</v>
      </c>
      <c r="E48" s="2" t="s">
        <v>314</v>
      </c>
      <c r="F48" s="2" t="s">
        <v>230</v>
      </c>
      <c r="G48" s="2" t="s">
        <v>315</v>
      </c>
      <c r="H48" s="2" t="s">
        <v>316</v>
      </c>
      <c r="I48" s="2" t="s">
        <v>19</v>
      </c>
      <c r="J48" s="2" t="s">
        <v>20</v>
      </c>
      <c r="K48" s="2"/>
    </row>
    <row r="49" spans="1:11" ht="67.95" customHeight="1" x14ac:dyDescent="0.3">
      <c r="A49" s="2" t="s">
        <v>317</v>
      </c>
      <c r="B49" s="2" t="s">
        <v>261</v>
      </c>
      <c r="C49" s="2" t="s">
        <v>318</v>
      </c>
      <c r="D49" s="2" t="s">
        <v>294</v>
      </c>
      <c r="E49" s="2" t="s">
        <v>319</v>
      </c>
      <c r="F49" s="2" t="s">
        <v>320</v>
      </c>
      <c r="G49" s="2" t="s">
        <v>321</v>
      </c>
      <c r="H49" s="2" t="s">
        <v>322</v>
      </c>
      <c r="I49" s="2" t="s">
        <v>174</v>
      </c>
      <c r="J49" s="2" t="s">
        <v>62</v>
      </c>
      <c r="K49" s="2" t="s">
        <v>323</v>
      </c>
    </row>
    <row r="50" spans="1:11" ht="67.95" customHeight="1" x14ac:dyDescent="0.3">
      <c r="A50" s="2" t="s">
        <v>324</v>
      </c>
      <c r="B50" s="2" t="s">
        <v>261</v>
      </c>
      <c r="C50" s="2" t="s">
        <v>325</v>
      </c>
      <c r="D50" s="2" t="s">
        <v>326</v>
      </c>
      <c r="E50" s="2" t="s">
        <v>327</v>
      </c>
      <c r="F50" s="2" t="s">
        <v>328</v>
      </c>
      <c r="G50" s="2" t="s">
        <v>329</v>
      </c>
      <c r="H50" s="2" t="s">
        <v>330</v>
      </c>
      <c r="I50" s="2" t="s">
        <v>19</v>
      </c>
      <c r="J50" s="2" t="s">
        <v>20</v>
      </c>
      <c r="K50" s="2" t="s">
        <v>331</v>
      </c>
    </row>
    <row r="51" spans="1:11" ht="67.95" customHeight="1" x14ac:dyDescent="0.3">
      <c r="A51" s="2" t="s">
        <v>332</v>
      </c>
      <c r="B51" s="2" t="s">
        <v>261</v>
      </c>
      <c r="C51" s="2" t="s">
        <v>333</v>
      </c>
      <c r="D51" s="2" t="s">
        <v>334</v>
      </c>
      <c r="E51" s="2" t="s">
        <v>283</v>
      </c>
      <c r="F51" s="2" t="s">
        <v>230</v>
      </c>
      <c r="G51" s="2" t="s">
        <v>335</v>
      </c>
      <c r="H51" s="2" t="s">
        <v>336</v>
      </c>
      <c r="I51" s="2" t="s">
        <v>19</v>
      </c>
      <c r="J51" s="2" t="s">
        <v>20</v>
      </c>
      <c r="K51" s="2" t="s">
        <v>337</v>
      </c>
    </row>
    <row r="52" spans="1:11" ht="67.95" customHeight="1" x14ac:dyDescent="0.3">
      <c r="A52" s="2" t="s">
        <v>338</v>
      </c>
      <c r="B52" s="2" t="s">
        <v>261</v>
      </c>
      <c r="C52" s="2" t="s">
        <v>339</v>
      </c>
      <c r="D52" s="2" t="s">
        <v>340</v>
      </c>
      <c r="E52" s="2" t="s">
        <v>341</v>
      </c>
      <c r="F52" s="2" t="s">
        <v>34</v>
      </c>
      <c r="G52" s="2" t="s">
        <v>342</v>
      </c>
      <c r="H52" s="2" t="s">
        <v>343</v>
      </c>
      <c r="I52" s="2" t="s">
        <v>19</v>
      </c>
      <c r="J52" s="2" t="s">
        <v>20</v>
      </c>
      <c r="K52" s="2"/>
    </row>
    <row r="53" spans="1:11" ht="67.95" customHeight="1" x14ac:dyDescent="0.3">
      <c r="A53" s="2" t="s">
        <v>344</v>
      </c>
      <c r="B53" s="2" t="s">
        <v>261</v>
      </c>
      <c r="C53" s="2" t="s">
        <v>345</v>
      </c>
      <c r="D53" s="2" t="s">
        <v>346</v>
      </c>
      <c r="E53" s="2" t="s">
        <v>347</v>
      </c>
      <c r="F53" s="2" t="s">
        <v>230</v>
      </c>
      <c r="G53" s="2" t="s">
        <v>348</v>
      </c>
      <c r="H53" s="2" t="s">
        <v>349</v>
      </c>
      <c r="I53" s="2" t="s">
        <v>19</v>
      </c>
      <c r="J53" s="2" t="s">
        <v>20</v>
      </c>
      <c r="K53" s="2"/>
    </row>
    <row r="54" spans="1:11" ht="67.95" customHeight="1" x14ac:dyDescent="0.3">
      <c r="A54" s="2" t="s">
        <v>350</v>
      </c>
      <c r="B54" s="2" t="s">
        <v>351</v>
      </c>
      <c r="C54" s="2" t="s">
        <v>352</v>
      </c>
      <c r="D54" s="2" t="s">
        <v>106</v>
      </c>
      <c r="E54" s="2" t="s">
        <v>353</v>
      </c>
      <c r="F54" s="2" t="s">
        <v>34</v>
      </c>
      <c r="G54" s="2" t="s">
        <v>354</v>
      </c>
      <c r="H54" s="2" t="s">
        <v>355</v>
      </c>
      <c r="I54" s="2" t="s">
        <v>19</v>
      </c>
      <c r="J54" s="2" t="s">
        <v>20</v>
      </c>
      <c r="K54" s="2" t="s">
        <v>356</v>
      </c>
    </row>
    <row r="55" spans="1:11" ht="67.95" customHeight="1" x14ac:dyDescent="0.3">
      <c r="A55" s="2" t="s">
        <v>357</v>
      </c>
      <c r="B55" s="2" t="s">
        <v>351</v>
      </c>
      <c r="C55" s="2" t="s">
        <v>358</v>
      </c>
      <c r="D55" s="2" t="s">
        <v>66</v>
      </c>
      <c r="E55" s="2" t="s">
        <v>359</v>
      </c>
      <c r="F55" s="2" t="s">
        <v>34</v>
      </c>
      <c r="G55" s="2" t="s">
        <v>360</v>
      </c>
      <c r="H55" s="2" t="s">
        <v>361</v>
      </c>
      <c r="I55" s="2" t="s">
        <v>19</v>
      </c>
      <c r="J55" s="2" t="s">
        <v>20</v>
      </c>
      <c r="K55" s="2"/>
    </row>
    <row r="56" spans="1:11" ht="67.95" customHeight="1" x14ac:dyDescent="0.3">
      <c r="A56" s="2" t="s">
        <v>362</v>
      </c>
      <c r="B56" s="2" t="s">
        <v>351</v>
      </c>
      <c r="C56" s="2" t="s">
        <v>363</v>
      </c>
      <c r="D56" s="2" t="s">
        <v>66</v>
      </c>
      <c r="E56" s="2" t="s">
        <v>67</v>
      </c>
      <c r="F56" s="2" t="s">
        <v>34</v>
      </c>
      <c r="G56" s="2" t="s">
        <v>364</v>
      </c>
      <c r="H56" s="2" t="s">
        <v>365</v>
      </c>
      <c r="I56" s="2" t="s">
        <v>19</v>
      </c>
      <c r="J56" s="2" t="s">
        <v>20</v>
      </c>
      <c r="K56" s="2"/>
    </row>
    <row r="57" spans="1:11" ht="67.95" customHeight="1" x14ac:dyDescent="0.3">
      <c r="A57" s="2" t="s">
        <v>366</v>
      </c>
      <c r="B57" s="2" t="s">
        <v>351</v>
      </c>
      <c r="C57" s="2" t="s">
        <v>254</v>
      </c>
      <c r="D57" s="2" t="s">
        <v>228</v>
      </c>
      <c r="E57" s="2" t="s">
        <v>255</v>
      </c>
      <c r="F57" s="2" t="s">
        <v>230</v>
      </c>
      <c r="G57" s="2" t="s">
        <v>367</v>
      </c>
      <c r="H57" s="2" t="s">
        <v>368</v>
      </c>
      <c r="I57" s="2" t="s">
        <v>19</v>
      </c>
      <c r="J57" s="2" t="s">
        <v>20</v>
      </c>
      <c r="K57" s="2" t="s">
        <v>369</v>
      </c>
    </row>
    <row r="58" spans="1:11" ht="67.95" customHeight="1" x14ac:dyDescent="0.3">
      <c r="A58" s="2" t="s">
        <v>370</v>
      </c>
      <c r="B58" s="2" t="s">
        <v>351</v>
      </c>
      <c r="C58" s="2" t="s">
        <v>371</v>
      </c>
      <c r="D58" s="2" t="s">
        <v>372</v>
      </c>
      <c r="E58" s="2" t="s">
        <v>373</v>
      </c>
      <c r="F58" s="2" t="s">
        <v>230</v>
      </c>
      <c r="G58" s="2" t="s">
        <v>374</v>
      </c>
      <c r="H58" s="2" t="s">
        <v>375</v>
      </c>
      <c r="I58" s="2" t="s">
        <v>19</v>
      </c>
      <c r="J58" s="2" t="s">
        <v>20</v>
      </c>
      <c r="K58" s="2"/>
    </row>
    <row r="59" spans="1:11" ht="67.95" customHeight="1" x14ac:dyDescent="0.3">
      <c r="A59" s="2" t="s">
        <v>376</v>
      </c>
      <c r="B59" s="2" t="s">
        <v>351</v>
      </c>
      <c r="C59" s="2" t="s">
        <v>377</v>
      </c>
      <c r="D59" s="2" t="s">
        <v>228</v>
      </c>
      <c r="E59" s="2" t="s">
        <v>378</v>
      </c>
      <c r="F59" s="2" t="s">
        <v>230</v>
      </c>
      <c r="G59" s="2" t="s">
        <v>379</v>
      </c>
      <c r="H59" s="2" t="s">
        <v>380</v>
      </c>
      <c r="I59" s="2" t="s">
        <v>174</v>
      </c>
      <c r="J59" s="2" t="s">
        <v>258</v>
      </c>
      <c r="K59" s="2" t="s">
        <v>259</v>
      </c>
    </row>
    <row r="60" spans="1:11" ht="67.95" customHeight="1" x14ac:dyDescent="0.3">
      <c r="A60" s="2" t="s">
        <v>381</v>
      </c>
      <c r="B60" s="2" t="s">
        <v>382</v>
      </c>
      <c r="C60" s="2" t="s">
        <v>383</v>
      </c>
      <c r="D60" s="2" t="s">
        <v>66</v>
      </c>
      <c r="E60" s="2" t="s">
        <v>384</v>
      </c>
      <c r="F60" s="2" t="s">
        <v>34</v>
      </c>
      <c r="G60" s="2" t="s">
        <v>385</v>
      </c>
      <c r="H60" s="2" t="s">
        <v>386</v>
      </c>
      <c r="I60" s="2" t="s">
        <v>19</v>
      </c>
      <c r="J60" s="2" t="s">
        <v>20</v>
      </c>
      <c r="K60" s="2"/>
    </row>
    <row r="61" spans="1:11" ht="67.95" customHeight="1" x14ac:dyDescent="0.3">
      <c r="A61" s="2" t="s">
        <v>387</v>
      </c>
      <c r="B61" s="2" t="s">
        <v>388</v>
      </c>
      <c r="C61" s="2" t="s">
        <v>389</v>
      </c>
      <c r="D61" s="2" t="s">
        <v>390</v>
      </c>
      <c r="E61" s="2" t="s">
        <v>391</v>
      </c>
      <c r="F61" s="2" t="s">
        <v>34</v>
      </c>
      <c r="G61" s="2" t="s">
        <v>392</v>
      </c>
      <c r="H61" s="2" t="s">
        <v>393</v>
      </c>
      <c r="I61" s="2" t="s">
        <v>19</v>
      </c>
      <c r="J61" s="2" t="s">
        <v>20</v>
      </c>
      <c r="K61" s="2"/>
    </row>
    <row r="62" spans="1:11" ht="67.95" customHeight="1" x14ac:dyDescent="0.3">
      <c r="A62" s="2" t="s">
        <v>394</v>
      </c>
      <c r="B62" s="2" t="s">
        <v>388</v>
      </c>
      <c r="C62" s="2" t="s">
        <v>395</v>
      </c>
      <c r="D62" s="2" t="s">
        <v>396</v>
      </c>
      <c r="E62" s="2" t="s">
        <v>397</v>
      </c>
      <c r="F62" s="2" t="s">
        <v>34</v>
      </c>
      <c r="G62" s="2" t="s">
        <v>398</v>
      </c>
      <c r="H62" s="2" t="s">
        <v>399</v>
      </c>
      <c r="I62" s="2" t="s">
        <v>19</v>
      </c>
      <c r="J62" s="2" t="s">
        <v>20</v>
      </c>
      <c r="K62" s="2"/>
    </row>
    <row r="63" spans="1:11" ht="67.95" customHeight="1" x14ac:dyDescent="0.3">
      <c r="A63" s="2" t="s">
        <v>400</v>
      </c>
      <c r="B63" s="2" t="s">
        <v>388</v>
      </c>
      <c r="C63" s="2" t="s">
        <v>401</v>
      </c>
      <c r="D63" s="2" t="s">
        <v>402</v>
      </c>
      <c r="E63" s="2" t="s">
        <v>403</v>
      </c>
      <c r="F63" s="2" t="s">
        <v>34</v>
      </c>
      <c r="G63" s="2" t="s">
        <v>404</v>
      </c>
      <c r="H63" s="2" t="s">
        <v>405</v>
      </c>
      <c r="I63" s="2" t="s">
        <v>19</v>
      </c>
      <c r="J63" s="2" t="s">
        <v>20</v>
      </c>
      <c r="K63" s="2"/>
    </row>
    <row r="64" spans="1:11" ht="67.95" customHeight="1" x14ac:dyDescent="0.3">
      <c r="A64" s="2" t="s">
        <v>406</v>
      </c>
      <c r="B64" s="2" t="s">
        <v>388</v>
      </c>
      <c r="C64" s="2" t="s">
        <v>407</v>
      </c>
      <c r="D64" s="2" t="s">
        <v>402</v>
      </c>
      <c r="E64" s="2" t="s">
        <v>408</v>
      </c>
      <c r="F64" s="2" t="s">
        <v>409</v>
      </c>
      <c r="G64" s="2" t="s">
        <v>410</v>
      </c>
      <c r="H64" s="2" t="s">
        <v>411</v>
      </c>
      <c r="I64" s="2" t="s">
        <v>19</v>
      </c>
      <c r="J64" s="2" t="s">
        <v>20</v>
      </c>
      <c r="K64" s="2"/>
    </row>
    <row r="65" spans="1:11" ht="67.95" customHeight="1" x14ac:dyDescent="0.3">
      <c r="A65" s="2" t="s">
        <v>412</v>
      </c>
      <c r="B65" s="2" t="s">
        <v>388</v>
      </c>
      <c r="C65" s="2" t="s">
        <v>413</v>
      </c>
      <c r="D65" s="2" t="s">
        <v>396</v>
      </c>
      <c r="E65" s="2" t="s">
        <v>414</v>
      </c>
      <c r="F65" s="2" t="s">
        <v>34</v>
      </c>
      <c r="G65" s="2" t="s">
        <v>415</v>
      </c>
      <c r="H65" s="2" t="s">
        <v>416</v>
      </c>
      <c r="I65" s="2" t="s">
        <v>19</v>
      </c>
      <c r="J65" s="2" t="s">
        <v>20</v>
      </c>
      <c r="K65" s="2"/>
    </row>
    <row r="66" spans="1:11" ht="67.95" customHeight="1" x14ac:dyDescent="0.3">
      <c r="A66" s="2" t="s">
        <v>417</v>
      </c>
      <c r="B66" s="2" t="s">
        <v>388</v>
      </c>
      <c r="C66" s="2" t="s">
        <v>418</v>
      </c>
      <c r="D66" s="2" t="s">
        <v>390</v>
      </c>
      <c r="E66" s="2" t="s">
        <v>419</v>
      </c>
      <c r="F66" s="2" t="s">
        <v>420</v>
      </c>
      <c r="G66" s="2" t="s">
        <v>421</v>
      </c>
      <c r="H66" s="2" t="s">
        <v>422</v>
      </c>
      <c r="I66" s="2" t="s">
        <v>174</v>
      </c>
      <c r="J66" s="2" t="s">
        <v>20</v>
      </c>
      <c r="K66" s="2" t="s">
        <v>499</v>
      </c>
    </row>
    <row r="67" spans="1:11" ht="67.95" customHeight="1" x14ac:dyDescent="0.3">
      <c r="A67" s="2" t="s">
        <v>423</v>
      </c>
      <c r="B67" s="2" t="s">
        <v>388</v>
      </c>
      <c r="C67" s="2" t="s">
        <v>424</v>
      </c>
      <c r="D67" s="2" t="s">
        <v>402</v>
      </c>
      <c r="E67" s="2" t="s">
        <v>425</v>
      </c>
      <c r="F67" s="2" t="s">
        <v>426</v>
      </c>
      <c r="G67" s="2" t="s">
        <v>427</v>
      </c>
      <c r="H67" s="2" t="s">
        <v>428</v>
      </c>
      <c r="I67" s="2" t="s">
        <v>19</v>
      </c>
      <c r="J67" s="2" t="s">
        <v>20</v>
      </c>
      <c r="K67" s="2"/>
    </row>
    <row r="68" spans="1:11" ht="67.95" customHeight="1" x14ac:dyDescent="0.3">
      <c r="A68" s="2" t="s">
        <v>429</v>
      </c>
      <c r="B68" s="2" t="s">
        <v>388</v>
      </c>
      <c r="C68" s="2" t="s">
        <v>430</v>
      </c>
      <c r="D68" s="2" t="s">
        <v>431</v>
      </c>
      <c r="E68" s="2" t="s">
        <v>432</v>
      </c>
      <c r="F68" s="2" t="s">
        <v>433</v>
      </c>
      <c r="G68" s="2" t="s">
        <v>434</v>
      </c>
      <c r="H68" s="2" t="s">
        <v>435</v>
      </c>
      <c r="I68" s="2" t="s">
        <v>436</v>
      </c>
      <c r="J68" s="2" t="s">
        <v>20</v>
      </c>
      <c r="K68" s="2" t="s">
        <v>437</v>
      </c>
    </row>
    <row r="69" spans="1:11" ht="67.95" customHeight="1" x14ac:dyDescent="0.3">
      <c r="A69" s="2" t="s">
        <v>438</v>
      </c>
      <c r="B69" s="2" t="s">
        <v>439</v>
      </c>
      <c r="C69" s="2" t="s">
        <v>440</v>
      </c>
      <c r="D69" s="2" t="s">
        <v>228</v>
      </c>
      <c r="E69" s="2" t="s">
        <v>441</v>
      </c>
      <c r="F69" s="2" t="s">
        <v>230</v>
      </c>
      <c r="G69" s="2" t="s">
        <v>442</v>
      </c>
      <c r="H69" s="2" t="s">
        <v>443</v>
      </c>
      <c r="I69" s="2" t="s">
        <v>19</v>
      </c>
      <c r="J69" s="2" t="s">
        <v>20</v>
      </c>
      <c r="K69" s="2" t="s">
        <v>444</v>
      </c>
    </row>
    <row r="70" spans="1:11" ht="67.95" customHeight="1" x14ac:dyDescent="0.3">
      <c r="A70" s="2" t="s">
        <v>445</v>
      </c>
      <c r="B70" s="2" t="s">
        <v>388</v>
      </c>
      <c r="C70" s="2" t="s">
        <v>446</v>
      </c>
      <c r="D70" s="2" t="s">
        <v>447</v>
      </c>
      <c r="E70" s="2" t="s">
        <v>448</v>
      </c>
      <c r="F70" s="2" t="s">
        <v>449</v>
      </c>
      <c r="G70" s="2" t="s">
        <v>450</v>
      </c>
      <c r="H70" s="2" t="s">
        <v>451</v>
      </c>
      <c r="I70" s="2" t="s">
        <v>19</v>
      </c>
      <c r="J70" s="2" t="s">
        <v>20</v>
      </c>
      <c r="K70" s="2"/>
    </row>
    <row r="71" spans="1:11" ht="67.95" customHeight="1" x14ac:dyDescent="0.3">
      <c r="A71" s="2" t="s">
        <v>452</v>
      </c>
      <c r="B71" s="2" t="s">
        <v>388</v>
      </c>
      <c r="C71" s="2" t="s">
        <v>453</v>
      </c>
      <c r="D71" s="2" t="s">
        <v>454</v>
      </c>
      <c r="E71" s="2" t="s">
        <v>455</v>
      </c>
      <c r="F71" s="2" t="s">
        <v>456</v>
      </c>
      <c r="G71" s="2" t="s">
        <v>457</v>
      </c>
      <c r="H71" s="2" t="s">
        <v>458</v>
      </c>
      <c r="I71" s="2" t="s">
        <v>459</v>
      </c>
      <c r="J71" s="2" t="s">
        <v>34</v>
      </c>
      <c r="K71" s="2" t="s">
        <v>460</v>
      </c>
    </row>
  </sheetData>
  <conditionalFormatting sqref="I2:I71">
    <cfRule type="cellIs" dxfId="4" priority="1" operator="equal">
      <formula>"PASS"</formula>
    </cfRule>
    <cfRule type="cellIs" dxfId="3" priority="2" operator="equal">
      <formula>"FAIL"</formula>
    </cfRule>
    <cfRule type="cellIs" dxfId="2" priority="3" operator="equal">
      <formula>"OBSERVATION"</formula>
    </cfRule>
    <cfRule type="cellIs" dxfId="1" priority="4" operator="equal">
      <formula>"NEEDS REVIEW"</formula>
    </cfRule>
    <cfRule type="cellIs" dxfId="0" priority="5" operator="equal">
      <formula>"PENDING"</formula>
    </cfRule>
  </conditionalFormatting>
  <dataValidations count="1">
    <dataValidation type="list" errorTitle="Invalid status" error="Choose a listed status." sqref="I2:I71" xr:uid="{00000000-0002-0000-0000-000000000000}">
      <formula1>"PASS,FAIL,OBSERVATION,NEEDS REVIEW,PENDING"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18" customWidth="1"/>
    <col min="3" max="3" width="68" customWidth="1"/>
    <col min="4" max="4" width="20" customWidth="1"/>
  </cols>
  <sheetData>
    <row r="1" spans="1:4" x14ac:dyDescent="0.3">
      <c r="A1" s="6" t="s">
        <v>461</v>
      </c>
      <c r="B1" s="7"/>
      <c r="C1" s="7"/>
      <c r="D1" s="7"/>
    </row>
    <row r="2" spans="1:4" x14ac:dyDescent="0.3">
      <c r="A2" s="2"/>
      <c r="B2" s="2"/>
      <c r="C2" s="2"/>
      <c r="D2" s="2"/>
    </row>
    <row r="3" spans="1:4" x14ac:dyDescent="0.3">
      <c r="A3" s="3" t="s">
        <v>462</v>
      </c>
      <c r="B3" s="3" t="s">
        <v>463</v>
      </c>
      <c r="C3" s="3" t="s">
        <v>464</v>
      </c>
      <c r="D3" s="3"/>
    </row>
    <row r="4" spans="1:4" ht="15.6" x14ac:dyDescent="0.3">
      <c r="A4" s="2" t="s">
        <v>465</v>
      </c>
      <c r="B4" s="4">
        <f>COUNTA('Test Cases'!A2:A200)</f>
        <v>70</v>
      </c>
      <c r="C4" s="2" t="s">
        <v>466</v>
      </c>
      <c r="D4" s="2"/>
    </row>
    <row r="5" spans="1:4" ht="15.6" x14ac:dyDescent="0.3">
      <c r="A5" s="2" t="s">
        <v>19</v>
      </c>
      <c r="B5" s="4">
        <f>COUNTIF('Test Cases'!I2:I200,"PASS")</f>
        <v>57</v>
      </c>
      <c r="C5" s="2" t="s">
        <v>467</v>
      </c>
      <c r="D5" s="2"/>
    </row>
    <row r="6" spans="1:4" ht="15.6" x14ac:dyDescent="0.3">
      <c r="A6" s="2" t="s">
        <v>174</v>
      </c>
      <c r="B6" s="4">
        <f>COUNTIF('Test Cases'!I2:I200,"FAIL")</f>
        <v>11</v>
      </c>
      <c r="C6" s="2" t="s">
        <v>468</v>
      </c>
      <c r="D6" s="2"/>
    </row>
    <row r="7" spans="1:4" ht="15.6" x14ac:dyDescent="0.3">
      <c r="A7" s="2" t="s">
        <v>469</v>
      </c>
      <c r="B7" s="4">
        <f>COUNTIF('Test Cases'!I2:I200,"NEEDS REVIEW")</f>
        <v>1</v>
      </c>
      <c r="C7" s="2" t="s">
        <v>470</v>
      </c>
      <c r="D7" s="2"/>
    </row>
    <row r="8" spans="1:4" ht="15.6" x14ac:dyDescent="0.3">
      <c r="A8" s="2" t="s">
        <v>471</v>
      </c>
      <c r="B8" s="4">
        <f>COUNTIF('Test Cases'!I2:I200,"OBSERVATION")</f>
        <v>1</v>
      </c>
      <c r="C8" s="2" t="s">
        <v>472</v>
      </c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5" t="s">
        <v>473</v>
      </c>
      <c r="B11" s="2"/>
      <c r="C11" s="2"/>
      <c r="D11" s="2"/>
    </row>
    <row r="12" spans="1:4" ht="31.95" customHeight="1" x14ac:dyDescent="0.3">
      <c r="A12" s="7" t="s">
        <v>474</v>
      </c>
      <c r="B12" s="7"/>
      <c r="C12" s="7"/>
      <c r="D12" s="2"/>
    </row>
    <row r="13" spans="1:4" ht="31.95" customHeight="1" x14ac:dyDescent="0.3">
      <c r="A13" s="7" t="s">
        <v>475</v>
      </c>
      <c r="B13" s="7"/>
      <c r="C13" s="7"/>
      <c r="D13" s="2"/>
    </row>
    <row r="14" spans="1:4" ht="31.95" customHeight="1" x14ac:dyDescent="0.3">
      <c r="A14" s="7" t="s">
        <v>476</v>
      </c>
      <c r="B14" s="7"/>
      <c r="C14" s="7"/>
      <c r="D14" s="2"/>
    </row>
    <row r="15" spans="1:4" ht="31.95" customHeight="1" x14ac:dyDescent="0.3">
      <c r="A15" s="7" t="s">
        <v>477</v>
      </c>
      <c r="B15" s="7"/>
      <c r="C15" s="7"/>
      <c r="D15" s="2"/>
    </row>
    <row r="16" spans="1:4" ht="31.95" customHeight="1" x14ac:dyDescent="0.3">
      <c r="A16" s="7" t="s">
        <v>478</v>
      </c>
      <c r="B16" s="7"/>
      <c r="C16" s="7"/>
      <c r="D16" s="2"/>
    </row>
    <row r="18" spans="1:3" x14ac:dyDescent="0.3">
      <c r="A18" s="10" t="s">
        <v>479</v>
      </c>
      <c r="B18" s="9"/>
      <c r="C18" s="9"/>
    </row>
    <row r="19" spans="1:3" ht="34.049999999999997" customHeight="1" x14ac:dyDescent="0.3">
      <c r="A19" s="8" t="s">
        <v>480</v>
      </c>
      <c r="B19" s="9"/>
      <c r="C19" s="9"/>
    </row>
    <row r="20" spans="1:3" ht="24" customHeight="1" x14ac:dyDescent="0.3">
      <c r="A20" s="9"/>
      <c r="B20" s="9"/>
      <c r="C20" s="9"/>
    </row>
  </sheetData>
  <mergeCells count="8">
    <mergeCell ref="A1:D1"/>
    <mergeCell ref="A13:C13"/>
    <mergeCell ref="A19:C20"/>
    <mergeCell ref="A14:C14"/>
    <mergeCell ref="A18:C18"/>
    <mergeCell ref="A12:C12"/>
    <mergeCell ref="A16:C16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00" customWidth="1"/>
  </cols>
  <sheetData>
    <row r="1" spans="1:2" x14ac:dyDescent="0.3">
      <c r="A1" s="5" t="s">
        <v>481</v>
      </c>
      <c r="B1" s="5" t="s">
        <v>482</v>
      </c>
    </row>
    <row r="2" spans="1:2" ht="34.950000000000003" customHeight="1" x14ac:dyDescent="0.3">
      <c r="A2" s="2" t="s">
        <v>483</v>
      </c>
      <c r="B2" s="2" t="s">
        <v>484</v>
      </c>
    </row>
    <row r="3" spans="1:2" ht="34.950000000000003" customHeight="1" x14ac:dyDescent="0.3">
      <c r="A3" s="2" t="s">
        <v>485</v>
      </c>
      <c r="B3" s="2" t="s">
        <v>486</v>
      </c>
    </row>
    <row r="4" spans="1:2" ht="34.950000000000003" customHeight="1" x14ac:dyDescent="0.3">
      <c r="A4" s="2" t="s">
        <v>487</v>
      </c>
      <c r="B4" s="2" t="s">
        <v>488</v>
      </c>
    </row>
    <row r="5" spans="1:2" ht="34.950000000000003" customHeight="1" x14ac:dyDescent="0.3">
      <c r="A5" s="2" t="s">
        <v>489</v>
      </c>
      <c r="B5" s="2" t="s">
        <v>490</v>
      </c>
    </row>
    <row r="6" spans="1:2" ht="34.950000000000003" customHeight="1" x14ac:dyDescent="0.3">
      <c r="A6" s="2" t="s">
        <v>491</v>
      </c>
      <c r="B6" s="2" t="s">
        <v>492</v>
      </c>
    </row>
    <row r="7" spans="1:2" ht="34.950000000000003" customHeight="1" x14ac:dyDescent="0.3">
      <c r="A7" s="2" t="s">
        <v>493</v>
      </c>
      <c r="B7" s="2" t="s">
        <v>494</v>
      </c>
    </row>
    <row r="8" spans="1:2" ht="34.950000000000003" customHeight="1" x14ac:dyDescent="0.3">
      <c r="A8" s="2" t="s">
        <v>495</v>
      </c>
      <c r="B8" s="2" t="s">
        <v>496</v>
      </c>
    </row>
    <row r="9" spans="1:2" ht="34.950000000000003" customHeight="1" x14ac:dyDescent="0.3">
      <c r="A9" s="2" t="s">
        <v>497</v>
      </c>
      <c r="B9" s="2" t="s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Execution Summary</vt:lpstr>
      <vt:lpstr>Test Environment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Bhavani M</cp:lastModifiedBy>
  <dcterms:created xsi:type="dcterms:W3CDTF">2026-10-23T13:13:11Z</dcterms:created>
  <dcterms:modified xsi:type="dcterms:W3CDTF">2026-10-25T18:53:16Z</dcterms:modified>
</cp:coreProperties>
</file>